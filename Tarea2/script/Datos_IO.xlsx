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ocuments\Personal\TEC\Cursos\Investigación de Operaciones\IC-6400-IO-Tarea2\script\"/>
    </mc:Choice>
  </mc:AlternateContent>
  <xr:revisionPtr revIDLastSave="0" documentId="13_ncr:1_{BB10636C-2C77-4E6A-A389-8CBEF52378BA}" xr6:coauthVersionLast="47" xr6:coauthVersionMax="47" xr10:uidLastSave="{00000000-0000-0000-0000-000000000000}"/>
  <bookViews>
    <workbookView xWindow="-120" yWindow="-120" windowWidth="38640" windowHeight="20940" xr2:uid="{A536736A-F903-4856-AEB1-45D2C416C4E0}"/>
  </bookViews>
  <sheets>
    <sheet name="Datos_seleccionados" sheetId="2" r:id="rId1"/>
  </sheets>
  <definedNames>
    <definedName name="_xlnm._FilterDatabase" localSheetId="0" hidden="1">Datos_seleccionados!$A$1:$L$81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2" i="2"/>
</calcChain>
</file>

<file path=xl/sharedStrings.xml><?xml version="1.0" encoding="utf-8"?>
<sst xmlns="http://schemas.openxmlformats.org/spreadsheetml/2006/main" count="172" uniqueCount="33">
  <si>
    <t>id_observacion</t>
  </si>
  <si>
    <t>fecha</t>
  </si>
  <si>
    <t>hora_llegada</t>
  </si>
  <si>
    <t>hora_inicio_servicio</t>
  </si>
  <si>
    <t>hora_fin_servicio</t>
  </si>
  <si>
    <t>intervalo_observacion</t>
  </si>
  <si>
    <t>numero_llegadas_intervalo</t>
  </si>
  <si>
    <t>servidor</t>
  </si>
  <si>
    <t>tiempo_espera (minutos)</t>
  </si>
  <si>
    <t>tiempo_servicio (minutos)</t>
  </si>
  <si>
    <t>tiempo_sistema (minutos)</t>
  </si>
  <si>
    <t>interarribo (minutos)</t>
  </si>
  <si>
    <t>12:10:00 - 12:20:00</t>
  </si>
  <si>
    <t>12:20:00 - 12:30:00</t>
  </si>
  <si>
    <t>12:30:00 - 12:40:00</t>
  </si>
  <si>
    <t>12:40:00 - 12:50:00</t>
  </si>
  <si>
    <t>12:50:00 - 13:00:00</t>
  </si>
  <si>
    <t>13:10:00 - 13:20:00</t>
  </si>
  <si>
    <t>13:20:00 - 13:30:00</t>
  </si>
  <si>
    <t>13:30:00 - 13:40:00</t>
  </si>
  <si>
    <t>12:07:00 - 12:17:00</t>
  </si>
  <si>
    <t>12:17:00 - 12:27:00</t>
  </si>
  <si>
    <t>12:27:00 - 12:37:00</t>
  </si>
  <si>
    <t>12:37:00 - 12:47:00</t>
  </si>
  <si>
    <t>12:47:00 - 12:57:00</t>
  </si>
  <si>
    <t>12:57:00 - 13:07:00</t>
  </si>
  <si>
    <t>13:07:00 - 13:17:00</t>
  </si>
  <si>
    <t>13:17:00 - 13:27:00</t>
  </si>
  <si>
    <t>13:27:00 - 13:37:00</t>
  </si>
  <si>
    <t>Ventallina AutoMac</t>
  </si>
  <si>
    <t>13:00:00 - 13:10:00</t>
  </si>
  <si>
    <t>13:47:00 - 13:57:00</t>
  </si>
  <si>
    <t>13:40:00 - 13:50:00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</si>
</sst>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dd/mm/yyyy"/>
    <numFmt numFmtId="166" formatCode="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165" fontId="0" fillId="0" borderId="0" xfId="0" applyNumberFormat="1"/>
    <xf numFmtId="166" fontId="0" fillId="0" borderId="0" xfId="0" applyNumberFormat="1"/>
    <xf numFmtId="2" fontId="0" fillId="0" borderId="0" xfId="1" applyNumberFormat="1" applyFont="1"/>
    <xf numFmtId="2" fontId="1" fillId="0" borderId="1" xfId="0" applyNumberFormat="1" applyFont="1" applyBorder="1" applyAlignment="1">
      <alignment horizontal="center"/>
    </xf>
    <xf numFmtId="2" fontId="0" fillId="0" borderId="0" xfId="0" applyNumberFormat="1"/>
    <xf numFmtId="2" fontId="1" fillId="0" borderId="1" xfId="2" applyNumberFormat="1" applyFont="1" applyBorder="1" applyAlignment="1">
      <alignment horizontal="center"/>
    </xf>
    <xf numFmtId="2" fontId="0" fillId="0" borderId="0" xfId="2" applyNumberFormat="1" applyFont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67C77-E654-4185-B2DE-CD72195E42A1}">
  <dimension ref="A1:L82"/>
  <sheetViews>
    <sheetView tabSelected="1" topLeftCell="F1" workbookViewId="0">
      <pane ySplit="1" topLeftCell="A60" activePane="bottomLeft" state="frozen"/>
      <selection pane="bottomLeft" activeCell="N75" sqref="N75"/>
    </sheetView>
  </sheetViews>
  <sheetFormatPr baseColWidth="10" defaultColWidth="8.85546875" defaultRowHeight="15" x14ac:dyDescent="0.25"/>
  <cols>
    <col min="1" max="1" width="16" customWidth="1"/>
    <col min="2" max="2" width="12" customWidth="1"/>
    <col min="3" max="5" width="28" customWidth="1"/>
    <col min="6" max="6" width="23" customWidth="1"/>
    <col min="7" max="7" width="27" customWidth="1"/>
    <col min="8" max="8" width="20" customWidth="1"/>
    <col min="9" max="9" width="25" customWidth="1"/>
    <col min="10" max="10" width="27" style="6" customWidth="1"/>
    <col min="11" max="11" width="26" style="8" customWidth="1"/>
    <col min="12" max="12" width="23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7" t="s">
        <v>10</v>
      </c>
      <c r="L1" s="1" t="s">
        <v>11</v>
      </c>
    </row>
    <row r="2" spans="1:12" x14ac:dyDescent="0.25">
      <c r="A2">
        <v>1</v>
      </c>
      <c r="B2" s="2">
        <v>46256</v>
      </c>
      <c r="C2" s="3">
        <v>46256.508127537338</v>
      </c>
      <c r="D2" s="3">
        <v>46256.508127537338</v>
      </c>
      <c r="E2" s="3">
        <v>46256.508134149939</v>
      </c>
      <c r="F2" t="s">
        <v>12</v>
      </c>
      <c r="G2">
        <v>3</v>
      </c>
      <c r="H2" t="s">
        <v>29</v>
      </c>
      <c r="I2" s="4">
        <f>(D2-C2)*1440</f>
        <v>0</v>
      </c>
      <c r="J2" s="6">
        <f>(E2-D2)*1440</f>
        <v>9.5221458468586206E-3</v>
      </c>
      <c r="K2" s="8">
        <f>I2+J2</f>
        <v>9.5221458468586206E-3</v>
      </c>
      <c r="L2">
        <f>IF(B2=B3,ROUND((C3-C2)*1440,2),"")</f>
        <v>4.6399999999999997</v>
      </c>
    </row>
    <row r="3" spans="1:12" x14ac:dyDescent="0.25">
      <c r="A3">
        <v>2</v>
      </c>
      <c r="B3" s="2">
        <v>46256</v>
      </c>
      <c r="C3" s="3">
        <v>46256.511352489419</v>
      </c>
      <c r="D3" s="3">
        <v>46256.511352489419</v>
      </c>
      <c r="E3" s="3">
        <v>46256.511452510531</v>
      </c>
      <c r="F3" t="s">
        <v>12</v>
      </c>
      <c r="G3">
        <v>3</v>
      </c>
      <c r="H3" t="s">
        <v>29</v>
      </c>
      <c r="I3" s="4">
        <f t="shared" ref="I3:I66" si="0">(D3-C3)*1440</f>
        <v>0</v>
      </c>
      <c r="J3" s="6">
        <f t="shared" ref="J3:J66" si="1">(E3-D3)*1440</f>
        <v>0.14403040171600878</v>
      </c>
      <c r="K3" s="8">
        <f t="shared" ref="K3:K66" si="2">I3+J3</f>
        <v>0.14403040171600878</v>
      </c>
      <c r="L3">
        <f t="shared" ref="L3:L66" si="3">IF(B3=B4,ROUND((C4-C3)*1440,2),"")</f>
        <v>2.73</v>
      </c>
    </row>
    <row r="4" spans="1:12" x14ac:dyDescent="0.25">
      <c r="A4">
        <v>3</v>
      </c>
      <c r="B4" s="2">
        <v>46256</v>
      </c>
      <c r="C4" s="3">
        <v>46256.513249709657</v>
      </c>
      <c r="D4" s="3">
        <v>46256.513249709657</v>
      </c>
      <c r="E4" s="3">
        <v>46256.513954866743</v>
      </c>
      <c r="F4" t="s">
        <v>12</v>
      </c>
      <c r="G4">
        <v>3</v>
      </c>
      <c r="H4" t="s">
        <v>29</v>
      </c>
      <c r="I4" s="4">
        <f t="shared" si="0"/>
        <v>0</v>
      </c>
      <c r="J4" s="6">
        <f t="shared" si="1"/>
        <v>1.0154262045398355</v>
      </c>
      <c r="K4" s="8">
        <f t="shared" si="2"/>
        <v>1.0154262045398355</v>
      </c>
      <c r="L4">
        <f t="shared" si="3"/>
        <v>1.5</v>
      </c>
    </row>
    <row r="5" spans="1:12" x14ac:dyDescent="0.25">
      <c r="A5">
        <v>4</v>
      </c>
      <c r="B5" s="2">
        <v>46256</v>
      </c>
      <c r="C5" s="3">
        <v>46256.514290299921</v>
      </c>
      <c r="D5" s="3">
        <v>46256.514290299921</v>
      </c>
      <c r="E5" s="3">
        <v>46256.515433296627</v>
      </c>
      <c r="F5" t="s">
        <v>13</v>
      </c>
      <c r="G5">
        <v>3</v>
      </c>
      <c r="H5" t="s">
        <v>29</v>
      </c>
      <c r="I5" s="4">
        <f t="shared" si="0"/>
        <v>0</v>
      </c>
      <c r="J5" s="6">
        <f t="shared" si="1"/>
        <v>1.6459152556490153</v>
      </c>
      <c r="K5" s="8">
        <f t="shared" si="2"/>
        <v>1.6459152556490153</v>
      </c>
      <c r="L5">
        <f t="shared" si="3"/>
        <v>3.44</v>
      </c>
    </row>
    <row r="6" spans="1:12" x14ac:dyDescent="0.25">
      <c r="A6">
        <v>5</v>
      </c>
      <c r="B6" s="2">
        <v>46256</v>
      </c>
      <c r="C6" s="3">
        <v>46256.516682281363</v>
      </c>
      <c r="D6" s="3">
        <v>46256.516682281363</v>
      </c>
      <c r="E6" s="3">
        <v>46256.516972310434</v>
      </c>
      <c r="F6" t="s">
        <v>13</v>
      </c>
      <c r="G6">
        <v>3</v>
      </c>
      <c r="H6" t="s">
        <v>29</v>
      </c>
      <c r="I6" s="4">
        <f t="shared" si="0"/>
        <v>0</v>
      </c>
      <c r="J6" s="6">
        <f t="shared" si="1"/>
        <v>0.41764186229556799</v>
      </c>
      <c r="K6" s="8">
        <f t="shared" si="2"/>
        <v>0.41764186229556799</v>
      </c>
      <c r="L6">
        <f t="shared" si="3"/>
        <v>0.54</v>
      </c>
    </row>
    <row r="7" spans="1:12" x14ac:dyDescent="0.25">
      <c r="A7">
        <v>6</v>
      </c>
      <c r="B7" s="2">
        <v>46256</v>
      </c>
      <c r="C7" s="3">
        <v>46256.517057488112</v>
      </c>
      <c r="D7" s="3">
        <v>46256.517057488112</v>
      </c>
      <c r="E7" s="3">
        <v>46256.519432823392</v>
      </c>
      <c r="F7" t="s">
        <v>13</v>
      </c>
      <c r="G7">
        <v>3</v>
      </c>
      <c r="H7" t="s">
        <v>29</v>
      </c>
      <c r="I7" s="4">
        <f t="shared" si="0"/>
        <v>0</v>
      </c>
      <c r="J7" s="6">
        <f t="shared" si="1"/>
        <v>3.4204828029032797</v>
      </c>
      <c r="K7" s="8">
        <f t="shared" si="2"/>
        <v>3.4204828029032797</v>
      </c>
      <c r="L7">
        <f t="shared" si="3"/>
        <v>7.25</v>
      </c>
    </row>
    <row r="8" spans="1:12" x14ac:dyDescent="0.25">
      <c r="A8">
        <v>7</v>
      </c>
      <c r="B8" s="2">
        <v>46256</v>
      </c>
      <c r="C8" s="3">
        <v>46256.522093383937</v>
      </c>
      <c r="D8" s="3">
        <v>46256.522093383937</v>
      </c>
      <c r="E8" s="3">
        <v>46256.522254436757</v>
      </c>
      <c r="F8" t="s">
        <v>14</v>
      </c>
      <c r="G8">
        <v>1</v>
      </c>
      <c r="H8" t="s">
        <v>29</v>
      </c>
      <c r="I8" s="4">
        <f t="shared" si="0"/>
        <v>0</v>
      </c>
      <c r="J8" s="6">
        <f t="shared" si="1"/>
        <v>0.23191606043837965</v>
      </c>
      <c r="K8" s="8">
        <f t="shared" si="2"/>
        <v>0.23191606043837965</v>
      </c>
      <c r="L8">
        <f t="shared" si="3"/>
        <v>9.2799999999999994</v>
      </c>
    </row>
    <row r="9" spans="1:12" x14ac:dyDescent="0.25">
      <c r="A9">
        <v>8</v>
      </c>
      <c r="B9" s="2">
        <v>46256</v>
      </c>
      <c r="C9" s="3">
        <v>46256.528536455393</v>
      </c>
      <c r="D9" s="3">
        <v>46256.528536455393</v>
      </c>
      <c r="E9" s="3">
        <v>46256.529676336089</v>
      </c>
      <c r="F9" t="s">
        <v>15</v>
      </c>
      <c r="G9">
        <v>5</v>
      </c>
      <c r="H9" t="s">
        <v>29</v>
      </c>
      <c r="I9" s="4">
        <f t="shared" si="0"/>
        <v>0</v>
      </c>
      <c r="J9" s="6">
        <f t="shared" si="1"/>
        <v>1.6414282028563321</v>
      </c>
      <c r="K9" s="8">
        <f t="shared" si="2"/>
        <v>1.6414282028563321</v>
      </c>
      <c r="L9">
        <f t="shared" si="3"/>
        <v>2.09</v>
      </c>
    </row>
    <row r="10" spans="1:12" x14ac:dyDescent="0.25">
      <c r="A10">
        <v>9</v>
      </c>
      <c r="B10" s="2">
        <v>46256</v>
      </c>
      <c r="C10" s="3">
        <v>46256.529991185344</v>
      </c>
      <c r="D10" s="3">
        <v>46256.529991185344</v>
      </c>
      <c r="E10" s="3">
        <v>46256.530042368708</v>
      </c>
      <c r="F10" t="s">
        <v>15</v>
      </c>
      <c r="G10">
        <v>5</v>
      </c>
      <c r="H10" t="s">
        <v>29</v>
      </c>
      <c r="I10" s="4">
        <f t="shared" si="0"/>
        <v>0</v>
      </c>
      <c r="J10" s="6">
        <f t="shared" si="1"/>
        <v>7.3704044334590435E-2</v>
      </c>
      <c r="K10" s="8">
        <f t="shared" si="2"/>
        <v>7.3704044334590435E-2</v>
      </c>
      <c r="L10">
        <f t="shared" si="3"/>
        <v>1</v>
      </c>
    </row>
    <row r="11" spans="1:12" x14ac:dyDescent="0.25">
      <c r="A11">
        <v>10</v>
      </c>
      <c r="B11" s="2">
        <v>46256</v>
      </c>
      <c r="C11" s="3">
        <v>46256.53068372517</v>
      </c>
      <c r="D11" s="3">
        <v>46256.53068372517</v>
      </c>
      <c r="E11" s="3">
        <v>46256.531372430021</v>
      </c>
      <c r="F11" t="s">
        <v>15</v>
      </c>
      <c r="G11">
        <v>5</v>
      </c>
      <c r="H11" t="s">
        <v>29</v>
      </c>
      <c r="I11" s="4">
        <f t="shared" si="0"/>
        <v>0</v>
      </c>
      <c r="J11" s="6">
        <f t="shared" si="1"/>
        <v>0.99173498572781682</v>
      </c>
      <c r="K11" s="8">
        <f t="shared" si="2"/>
        <v>0.99173498572781682</v>
      </c>
      <c r="L11">
        <f t="shared" si="3"/>
        <v>1.3</v>
      </c>
    </row>
    <row r="12" spans="1:12" x14ac:dyDescent="0.25">
      <c r="A12">
        <v>11</v>
      </c>
      <c r="B12" s="2">
        <v>46256</v>
      </c>
      <c r="C12" s="3">
        <v>46256.531584103803</v>
      </c>
      <c r="D12" s="3">
        <v>46256.531584103803</v>
      </c>
      <c r="E12" s="3">
        <v>46256.533371588062</v>
      </c>
      <c r="F12" t="s">
        <v>15</v>
      </c>
      <c r="G12">
        <v>5</v>
      </c>
      <c r="H12" t="s">
        <v>29</v>
      </c>
      <c r="I12" s="4">
        <f t="shared" si="0"/>
        <v>0</v>
      </c>
      <c r="J12" s="6">
        <f t="shared" si="1"/>
        <v>2.573977333959192</v>
      </c>
      <c r="K12" s="8">
        <f t="shared" si="2"/>
        <v>2.573977333959192</v>
      </c>
      <c r="L12">
        <f t="shared" si="3"/>
        <v>3.22</v>
      </c>
    </row>
    <row r="13" spans="1:12" x14ac:dyDescent="0.25">
      <c r="A13">
        <v>12</v>
      </c>
      <c r="B13" s="2">
        <v>46256</v>
      </c>
      <c r="C13" s="3">
        <v>46256.533819135882</v>
      </c>
      <c r="D13" s="3">
        <v>46256.533819135882</v>
      </c>
      <c r="E13" s="3">
        <v>46256.535392430647</v>
      </c>
      <c r="F13" t="s">
        <v>15</v>
      </c>
      <c r="G13">
        <v>5</v>
      </c>
      <c r="H13" t="s">
        <v>29</v>
      </c>
      <c r="I13" s="4">
        <f t="shared" si="0"/>
        <v>0</v>
      </c>
      <c r="J13" s="6">
        <f t="shared" si="1"/>
        <v>2.2655444615520537</v>
      </c>
      <c r="K13" s="8">
        <f t="shared" si="2"/>
        <v>2.2655444615520537</v>
      </c>
      <c r="L13">
        <f t="shared" si="3"/>
        <v>8.39</v>
      </c>
    </row>
    <row r="14" spans="1:12" x14ac:dyDescent="0.25">
      <c r="A14">
        <v>13</v>
      </c>
      <c r="B14" s="2">
        <v>46256</v>
      </c>
      <c r="C14" s="3">
        <v>46256.539646779158</v>
      </c>
      <c r="D14" s="3">
        <v>46256.539646779158</v>
      </c>
      <c r="E14" s="3">
        <v>46256.539755929291</v>
      </c>
      <c r="F14" t="s">
        <v>16</v>
      </c>
      <c r="G14">
        <v>1</v>
      </c>
      <c r="H14" t="s">
        <v>29</v>
      </c>
      <c r="I14" s="4">
        <f t="shared" si="0"/>
        <v>0</v>
      </c>
      <c r="J14" s="6">
        <f t="shared" si="1"/>
        <v>0.15717619098722935</v>
      </c>
      <c r="K14" s="8">
        <f t="shared" si="2"/>
        <v>0.15717619098722935</v>
      </c>
      <c r="L14">
        <f t="shared" si="3"/>
        <v>4.26</v>
      </c>
    </row>
    <row r="15" spans="1:12" x14ac:dyDescent="0.25">
      <c r="A15">
        <v>14</v>
      </c>
      <c r="B15" s="2">
        <v>46256</v>
      </c>
      <c r="C15" s="3">
        <v>46256.542605997987</v>
      </c>
      <c r="D15" s="3">
        <v>46256.542605997987</v>
      </c>
      <c r="E15" s="3">
        <v>46256.545991223516</v>
      </c>
      <c r="F15" t="s">
        <v>30</v>
      </c>
      <c r="G15">
        <v>6</v>
      </c>
      <c r="H15" t="s">
        <v>29</v>
      </c>
      <c r="I15" s="4">
        <f t="shared" si="0"/>
        <v>0</v>
      </c>
      <c r="J15" s="6">
        <f t="shared" si="1"/>
        <v>4.8747247620485723</v>
      </c>
      <c r="K15" s="8">
        <f t="shared" si="2"/>
        <v>4.8747247620485723</v>
      </c>
      <c r="L15">
        <f t="shared" si="3"/>
        <v>4.66</v>
      </c>
    </row>
    <row r="16" spans="1:12" x14ac:dyDescent="0.25">
      <c r="A16">
        <v>15</v>
      </c>
      <c r="B16" s="2">
        <v>46256</v>
      </c>
      <c r="C16" s="3">
        <v>46256.545841268759</v>
      </c>
      <c r="D16" s="3">
        <v>46256.545991223516</v>
      </c>
      <c r="E16" s="3">
        <v>46256.548140554041</v>
      </c>
      <c r="F16" t="s">
        <v>30</v>
      </c>
      <c r="G16">
        <v>6</v>
      </c>
      <c r="H16" t="s">
        <v>29</v>
      </c>
      <c r="I16" s="4">
        <f t="shared" si="0"/>
        <v>0.21593485143966973</v>
      </c>
      <c r="J16" s="6">
        <f t="shared" si="1"/>
        <v>3.0950359557755291</v>
      </c>
      <c r="K16" s="8">
        <f t="shared" si="2"/>
        <v>3.3109708072151989</v>
      </c>
      <c r="L16">
        <f t="shared" si="3"/>
        <v>0.28999999999999998</v>
      </c>
    </row>
    <row r="17" spans="1:12" x14ac:dyDescent="0.25">
      <c r="A17">
        <v>16</v>
      </c>
      <c r="B17" s="2">
        <v>46256</v>
      </c>
      <c r="C17" s="3">
        <v>46256.546044694129</v>
      </c>
      <c r="D17" s="3">
        <v>46256.548140554041</v>
      </c>
      <c r="E17" s="3">
        <v>46256.550685789793</v>
      </c>
      <c r="F17" t="s">
        <v>30</v>
      </c>
      <c r="G17">
        <v>6</v>
      </c>
      <c r="H17" t="s">
        <v>29</v>
      </c>
      <c r="I17" s="4">
        <f t="shared" si="0"/>
        <v>3.0180382740218192</v>
      </c>
      <c r="J17" s="6">
        <f t="shared" si="1"/>
        <v>3.6651394818909466</v>
      </c>
      <c r="K17" s="8">
        <f t="shared" si="2"/>
        <v>6.6831777559127659</v>
      </c>
      <c r="L17">
        <f t="shared" si="3"/>
        <v>1.97</v>
      </c>
    </row>
    <row r="18" spans="1:12" x14ac:dyDescent="0.25">
      <c r="A18">
        <v>17</v>
      </c>
      <c r="B18" s="2">
        <v>46256</v>
      </c>
      <c r="C18" s="3">
        <v>46256.547413182103</v>
      </c>
      <c r="D18" s="3">
        <v>46256.550685789793</v>
      </c>
      <c r="E18" s="3">
        <v>46256.552573174733</v>
      </c>
      <c r="F18" t="s">
        <v>30</v>
      </c>
      <c r="G18">
        <v>6</v>
      </c>
      <c r="H18" t="s">
        <v>29</v>
      </c>
      <c r="I18" s="4">
        <f t="shared" si="0"/>
        <v>4.7125550732016563</v>
      </c>
      <c r="J18" s="6">
        <f t="shared" si="1"/>
        <v>2.7178343140985817</v>
      </c>
      <c r="K18" s="8">
        <f t="shared" si="2"/>
        <v>7.430389387300238</v>
      </c>
      <c r="L18">
        <f t="shared" si="3"/>
        <v>0.14000000000000001</v>
      </c>
    </row>
    <row r="19" spans="1:12" x14ac:dyDescent="0.25">
      <c r="A19">
        <v>18</v>
      </c>
      <c r="B19" s="2">
        <v>46256</v>
      </c>
      <c r="C19" s="3">
        <v>46256.547509638913</v>
      </c>
      <c r="D19" s="3">
        <v>46256.552573174733</v>
      </c>
      <c r="E19" s="3">
        <v>46256.553108097978</v>
      </c>
      <c r="F19" t="s">
        <v>30</v>
      </c>
      <c r="G19">
        <v>6</v>
      </c>
      <c r="H19" t="s">
        <v>29</v>
      </c>
      <c r="I19" s="4">
        <f t="shared" si="0"/>
        <v>7.2914915811270475</v>
      </c>
      <c r="J19" s="6">
        <f t="shared" si="1"/>
        <v>0.7702894730027765</v>
      </c>
      <c r="K19" s="8">
        <f t="shared" si="2"/>
        <v>8.061781054129824</v>
      </c>
      <c r="L19">
        <f t="shared" si="3"/>
        <v>1.49</v>
      </c>
    </row>
    <row r="20" spans="1:12" x14ac:dyDescent="0.25">
      <c r="A20">
        <v>19</v>
      </c>
      <c r="B20" s="2">
        <v>46256</v>
      </c>
      <c r="C20" s="3">
        <v>46256.548541118471</v>
      </c>
      <c r="D20" s="3">
        <v>46256.553108097978</v>
      </c>
      <c r="E20" s="3">
        <v>46256.553615080811</v>
      </c>
      <c r="F20" t="s">
        <v>30</v>
      </c>
      <c r="G20">
        <v>6</v>
      </c>
      <c r="H20" t="s">
        <v>29</v>
      </c>
      <c r="I20" s="4">
        <f t="shared" si="0"/>
        <v>6.5764504903927445</v>
      </c>
      <c r="J20" s="6">
        <f t="shared" si="1"/>
        <v>0.73005527956411242</v>
      </c>
      <c r="K20" s="8">
        <f t="shared" si="2"/>
        <v>7.306505769956857</v>
      </c>
      <c r="L20">
        <f t="shared" si="3"/>
        <v>1.56</v>
      </c>
    </row>
    <row r="21" spans="1:12" x14ac:dyDescent="0.25">
      <c r="A21">
        <v>20</v>
      </c>
      <c r="B21" s="2">
        <v>46256</v>
      </c>
      <c r="C21" s="3">
        <v>46256.549625241772</v>
      </c>
      <c r="D21" s="3">
        <v>46256.553615080811</v>
      </c>
      <c r="E21" s="3">
        <v>46256.55445592045</v>
      </c>
      <c r="F21" t="s">
        <v>17</v>
      </c>
      <c r="G21">
        <v>6</v>
      </c>
      <c r="H21" t="s">
        <v>29</v>
      </c>
      <c r="I21" s="4">
        <f t="shared" si="0"/>
        <v>5.7453682157211006</v>
      </c>
      <c r="J21" s="6">
        <f t="shared" si="1"/>
        <v>1.2108090799301863</v>
      </c>
      <c r="K21" s="8">
        <f t="shared" si="2"/>
        <v>6.9561772956512868</v>
      </c>
      <c r="L21">
        <f t="shared" si="3"/>
        <v>1.1100000000000001</v>
      </c>
    </row>
    <row r="22" spans="1:12" x14ac:dyDescent="0.25">
      <c r="A22">
        <v>21</v>
      </c>
      <c r="B22" s="2">
        <v>46256</v>
      </c>
      <c r="C22" s="3">
        <v>46256.550393967998</v>
      </c>
      <c r="D22" s="3">
        <v>46256.55445592045</v>
      </c>
      <c r="E22" s="3">
        <v>46256.554888124352</v>
      </c>
      <c r="F22" t="s">
        <v>17</v>
      </c>
      <c r="G22">
        <v>6</v>
      </c>
      <c r="H22" t="s">
        <v>29</v>
      </c>
      <c r="I22" s="4">
        <f t="shared" si="0"/>
        <v>5.8492115302942693</v>
      </c>
      <c r="J22" s="6">
        <f t="shared" si="1"/>
        <v>0.62237361911684275</v>
      </c>
      <c r="K22" s="8">
        <f t="shared" si="2"/>
        <v>6.4715851494111121</v>
      </c>
      <c r="L22">
        <f t="shared" si="3"/>
        <v>2.79</v>
      </c>
    </row>
    <row r="23" spans="1:12" x14ac:dyDescent="0.25">
      <c r="A23">
        <v>22</v>
      </c>
      <c r="B23" s="2">
        <v>46256</v>
      </c>
      <c r="C23" s="3">
        <v>46256.552330293824</v>
      </c>
      <c r="D23" s="3">
        <v>46256.554888124352</v>
      </c>
      <c r="E23" s="3">
        <v>46256.556179234292</v>
      </c>
      <c r="F23" t="s">
        <v>17</v>
      </c>
      <c r="G23">
        <v>6</v>
      </c>
      <c r="H23" t="s">
        <v>29</v>
      </c>
      <c r="I23" s="4">
        <f t="shared" si="0"/>
        <v>3.6832759610842913</v>
      </c>
      <c r="J23" s="6">
        <f t="shared" si="1"/>
        <v>1.8591983139049262</v>
      </c>
      <c r="K23" s="8">
        <f t="shared" si="2"/>
        <v>5.5424742749892175</v>
      </c>
      <c r="L23">
        <f t="shared" si="3"/>
        <v>0.36</v>
      </c>
    </row>
    <row r="24" spans="1:12" x14ac:dyDescent="0.25">
      <c r="A24">
        <v>23</v>
      </c>
      <c r="B24" s="2">
        <v>46256</v>
      </c>
      <c r="C24" s="3">
        <v>46256.552579067757</v>
      </c>
      <c r="D24" s="3">
        <v>46256.556179234292</v>
      </c>
      <c r="E24" s="3">
        <v>46256.558393287043</v>
      </c>
      <c r="F24" t="s">
        <v>17</v>
      </c>
      <c r="G24">
        <v>6</v>
      </c>
      <c r="H24" t="s">
        <v>29</v>
      </c>
      <c r="I24" s="4">
        <f t="shared" si="0"/>
        <v>5.1842398114968091</v>
      </c>
      <c r="J24" s="6">
        <f t="shared" si="1"/>
        <v>3.1882359611336142</v>
      </c>
      <c r="K24" s="8">
        <f t="shared" si="2"/>
        <v>8.3724757726304233</v>
      </c>
      <c r="L24">
        <f t="shared" si="3"/>
        <v>1.66</v>
      </c>
    </row>
    <row r="25" spans="1:12" x14ac:dyDescent="0.25">
      <c r="A25">
        <v>24</v>
      </c>
      <c r="B25" s="2">
        <v>46256</v>
      </c>
      <c r="C25" s="3">
        <v>46256.553735067413</v>
      </c>
      <c r="D25" s="3">
        <v>46256.558393287043</v>
      </c>
      <c r="E25" s="3">
        <v>46256.558705207637</v>
      </c>
      <c r="F25" t="s">
        <v>17</v>
      </c>
      <c r="G25">
        <v>6</v>
      </c>
      <c r="H25" t="s">
        <v>29</v>
      </c>
      <c r="I25" s="4">
        <f t="shared" si="0"/>
        <v>6.7078362673055381</v>
      </c>
      <c r="J25" s="6">
        <f t="shared" si="1"/>
        <v>0.44916565530002117</v>
      </c>
      <c r="K25" s="8">
        <f t="shared" si="2"/>
        <v>7.1570019226055592</v>
      </c>
      <c r="L25">
        <f t="shared" si="3"/>
        <v>0.46</v>
      </c>
    </row>
    <row r="26" spans="1:12" x14ac:dyDescent="0.25">
      <c r="A26">
        <v>25</v>
      </c>
      <c r="B26" s="2">
        <v>46256</v>
      </c>
      <c r="C26" s="3">
        <v>46256.554053977947</v>
      </c>
      <c r="D26" s="3">
        <v>46256.558705207637</v>
      </c>
      <c r="E26" s="3">
        <v>46256.559072411008</v>
      </c>
      <c r="F26" t="s">
        <v>17</v>
      </c>
      <c r="G26">
        <v>6</v>
      </c>
      <c r="H26" t="s">
        <v>29</v>
      </c>
      <c r="I26" s="4">
        <f t="shared" si="0"/>
        <v>6.6977707541082054</v>
      </c>
      <c r="J26" s="6">
        <f t="shared" si="1"/>
        <v>0.52877285401336849</v>
      </c>
      <c r="K26" s="8">
        <f t="shared" si="2"/>
        <v>7.2265436081215739</v>
      </c>
      <c r="L26">
        <f t="shared" si="3"/>
        <v>3.28</v>
      </c>
    </row>
    <row r="27" spans="1:12" x14ac:dyDescent="0.25">
      <c r="A27">
        <v>26</v>
      </c>
      <c r="B27" s="2">
        <v>46256</v>
      </c>
      <c r="C27" s="3">
        <v>46256.556332385007</v>
      </c>
      <c r="D27" s="3">
        <v>46256.559072411008</v>
      </c>
      <c r="E27" s="3">
        <v>46256.561450424379</v>
      </c>
      <c r="F27" t="s">
        <v>18</v>
      </c>
      <c r="G27">
        <v>4</v>
      </c>
      <c r="H27" t="s">
        <v>29</v>
      </c>
      <c r="I27" s="4">
        <f t="shared" si="0"/>
        <v>3.9456374407745898</v>
      </c>
      <c r="J27" s="6">
        <f t="shared" si="1"/>
        <v>3.4243392536882311</v>
      </c>
      <c r="K27" s="8">
        <f t="shared" si="2"/>
        <v>7.3699766944628209</v>
      </c>
      <c r="L27">
        <f t="shared" si="3"/>
        <v>6.51</v>
      </c>
    </row>
    <row r="28" spans="1:12" x14ac:dyDescent="0.25">
      <c r="A28">
        <v>27</v>
      </c>
      <c r="B28" s="2">
        <v>46256</v>
      </c>
      <c r="C28" s="3">
        <v>46256.560850919988</v>
      </c>
      <c r="D28" s="3">
        <v>46256.561450424379</v>
      </c>
      <c r="E28" s="3">
        <v>46256.561477687042</v>
      </c>
      <c r="F28" t="s">
        <v>18</v>
      </c>
      <c r="G28">
        <v>4</v>
      </c>
      <c r="H28" t="s">
        <v>29</v>
      </c>
      <c r="I28" s="4">
        <f t="shared" si="0"/>
        <v>0.86328632198274136</v>
      </c>
      <c r="J28" s="6">
        <f t="shared" si="1"/>
        <v>3.9258236065506935E-2</v>
      </c>
      <c r="K28" s="8">
        <f t="shared" si="2"/>
        <v>0.90254455804824829</v>
      </c>
      <c r="L28">
        <f t="shared" si="3"/>
        <v>0.36</v>
      </c>
    </row>
    <row r="29" spans="1:12" x14ac:dyDescent="0.25">
      <c r="A29">
        <v>28</v>
      </c>
      <c r="B29" s="2">
        <v>46256</v>
      </c>
      <c r="C29" s="3">
        <v>46256.56110187983</v>
      </c>
      <c r="D29" s="3">
        <v>46256.561477687042</v>
      </c>
      <c r="E29" s="3">
        <v>46256.561587163997</v>
      </c>
      <c r="F29" t="s">
        <v>18</v>
      </c>
      <c r="G29">
        <v>4</v>
      </c>
      <c r="H29" t="s">
        <v>29</v>
      </c>
      <c r="I29" s="4">
        <f t="shared" si="0"/>
        <v>0.54116238607093692</v>
      </c>
      <c r="J29" s="6">
        <f t="shared" si="1"/>
        <v>0.15764681389555335</v>
      </c>
      <c r="K29" s="8">
        <f t="shared" si="2"/>
        <v>0.69880919996649027</v>
      </c>
      <c r="L29">
        <f t="shared" si="3"/>
        <v>0.67</v>
      </c>
    </row>
    <row r="30" spans="1:12" x14ac:dyDescent="0.25">
      <c r="A30">
        <v>29</v>
      </c>
      <c r="B30" s="2">
        <v>46256</v>
      </c>
      <c r="C30" s="3">
        <v>46256.561565076467</v>
      </c>
      <c r="D30" s="3">
        <v>46256.561587163997</v>
      </c>
      <c r="E30" s="3">
        <v>46256.561751845227</v>
      </c>
      <c r="F30" t="s">
        <v>18</v>
      </c>
      <c r="G30">
        <v>4</v>
      </c>
      <c r="H30" t="s">
        <v>29</v>
      </c>
      <c r="I30" s="4">
        <f t="shared" si="0"/>
        <v>3.1806043116375804E-2</v>
      </c>
      <c r="J30" s="6">
        <f t="shared" si="1"/>
        <v>0.23714097216725349</v>
      </c>
      <c r="K30" s="8">
        <f t="shared" si="2"/>
        <v>0.2689470152836293</v>
      </c>
      <c r="L30">
        <f t="shared" si="3"/>
        <v>2.71</v>
      </c>
    </row>
    <row r="31" spans="1:12" x14ac:dyDescent="0.25">
      <c r="A31">
        <v>30</v>
      </c>
      <c r="B31" s="2">
        <v>46256</v>
      </c>
      <c r="C31" s="3">
        <v>46256.563450344038</v>
      </c>
      <c r="D31" s="3">
        <v>46256.563450344038</v>
      </c>
      <c r="E31" s="3">
        <v>46256.563620064029</v>
      </c>
      <c r="F31" t="s">
        <v>19</v>
      </c>
      <c r="G31">
        <v>3</v>
      </c>
      <c r="H31" t="s">
        <v>29</v>
      </c>
      <c r="I31" s="4">
        <f t="shared" si="0"/>
        <v>0</v>
      </c>
      <c r="J31" s="6">
        <f t="shared" si="1"/>
        <v>0.24439678760245442</v>
      </c>
      <c r="K31" s="8">
        <f t="shared" si="2"/>
        <v>0.24439678760245442</v>
      </c>
      <c r="L31">
        <f t="shared" si="3"/>
        <v>4.5999999999999996</v>
      </c>
    </row>
    <row r="32" spans="1:12" x14ac:dyDescent="0.25">
      <c r="A32">
        <v>31</v>
      </c>
      <c r="B32" s="2">
        <v>46256</v>
      </c>
      <c r="C32" s="3">
        <v>46256.56664274478</v>
      </c>
      <c r="D32" s="3">
        <v>46256.56664274478</v>
      </c>
      <c r="E32" s="3">
        <v>46256.566820987027</v>
      </c>
      <c r="F32" t="s">
        <v>19</v>
      </c>
      <c r="G32">
        <v>3</v>
      </c>
      <c r="H32" t="s">
        <v>29</v>
      </c>
      <c r="I32" s="4">
        <f t="shared" si="0"/>
        <v>0</v>
      </c>
      <c r="J32" s="6">
        <f t="shared" si="1"/>
        <v>0.25666883680969477</v>
      </c>
      <c r="K32" s="8">
        <f t="shared" si="2"/>
        <v>0.25666883680969477</v>
      </c>
      <c r="L32">
        <f t="shared" si="3"/>
        <v>1.76</v>
      </c>
    </row>
    <row r="33" spans="1:12" x14ac:dyDescent="0.25">
      <c r="A33">
        <v>32</v>
      </c>
      <c r="B33" s="2">
        <v>46256</v>
      </c>
      <c r="C33" s="3">
        <v>46256.567864091077</v>
      </c>
      <c r="D33" s="3">
        <v>46256.567864091077</v>
      </c>
      <c r="E33" s="3">
        <v>46256.568107513158</v>
      </c>
      <c r="F33" t="s">
        <v>19</v>
      </c>
      <c r="G33">
        <v>3</v>
      </c>
      <c r="H33" t="s">
        <v>29</v>
      </c>
      <c r="I33" s="4">
        <f t="shared" si="0"/>
        <v>0</v>
      </c>
      <c r="J33" s="6">
        <f t="shared" si="1"/>
        <v>0.35052779596298933</v>
      </c>
      <c r="K33" s="8">
        <f t="shared" si="2"/>
        <v>0.35052779596298933</v>
      </c>
      <c r="L33">
        <f t="shared" si="3"/>
        <v>3.61</v>
      </c>
    </row>
    <row r="34" spans="1:12" x14ac:dyDescent="0.25">
      <c r="A34">
        <v>33</v>
      </c>
      <c r="B34" s="2">
        <v>46256</v>
      </c>
      <c r="C34" s="3">
        <v>46256.570371638278</v>
      </c>
      <c r="D34" s="3">
        <v>46256.570371638278</v>
      </c>
      <c r="E34" s="3">
        <v>46256.570900526618</v>
      </c>
      <c r="F34" t="s">
        <v>32</v>
      </c>
      <c r="G34">
        <v>7</v>
      </c>
      <c r="H34" t="s">
        <v>29</v>
      </c>
      <c r="I34" s="4">
        <f t="shared" si="0"/>
        <v>0</v>
      </c>
      <c r="J34" s="6">
        <f t="shared" si="1"/>
        <v>0.76159921009093523</v>
      </c>
      <c r="K34" s="8">
        <f t="shared" si="2"/>
        <v>0.76159921009093523</v>
      </c>
      <c r="L34">
        <f t="shared" si="3"/>
        <v>3.31</v>
      </c>
    </row>
    <row r="35" spans="1:12" x14ac:dyDescent="0.25">
      <c r="A35">
        <v>34</v>
      </c>
      <c r="B35" s="2">
        <v>46256</v>
      </c>
      <c r="C35" s="3">
        <v>46256.572671243637</v>
      </c>
      <c r="D35" s="3">
        <v>46256.572671243637</v>
      </c>
      <c r="E35" s="3">
        <v>46256.57392729375</v>
      </c>
      <c r="F35" t="s">
        <v>32</v>
      </c>
      <c r="G35">
        <v>7</v>
      </c>
      <c r="H35" t="s">
        <v>29</v>
      </c>
      <c r="I35" s="4">
        <f t="shared" si="0"/>
        <v>0</v>
      </c>
      <c r="J35" s="6">
        <f t="shared" si="1"/>
        <v>1.8087121623102576</v>
      </c>
      <c r="K35" s="8">
        <f t="shared" si="2"/>
        <v>1.8087121623102576</v>
      </c>
      <c r="L35">
        <f t="shared" si="3"/>
        <v>0.64</v>
      </c>
    </row>
    <row r="36" spans="1:12" x14ac:dyDescent="0.25">
      <c r="A36">
        <v>35</v>
      </c>
      <c r="B36" s="2">
        <v>46256</v>
      </c>
      <c r="C36" s="3">
        <v>46256.573118792978</v>
      </c>
      <c r="D36" s="3">
        <v>46256.57392729375</v>
      </c>
      <c r="E36" s="3">
        <v>46256.574797131078</v>
      </c>
      <c r="F36" t="s">
        <v>32</v>
      </c>
      <c r="G36">
        <v>7</v>
      </c>
      <c r="H36" t="s">
        <v>29</v>
      </c>
      <c r="I36" s="4">
        <f t="shared" si="0"/>
        <v>1.1642411118373275</v>
      </c>
      <c r="J36" s="6">
        <f t="shared" si="1"/>
        <v>1.2525657517835498</v>
      </c>
      <c r="K36" s="8">
        <f t="shared" si="2"/>
        <v>2.4168068636208773</v>
      </c>
      <c r="L36">
        <f t="shared" si="3"/>
        <v>0.41</v>
      </c>
    </row>
    <row r="37" spans="1:12" x14ac:dyDescent="0.25">
      <c r="A37">
        <v>36</v>
      </c>
      <c r="B37" s="2">
        <v>46256</v>
      </c>
      <c r="C37" s="3">
        <v>46256.573401824156</v>
      </c>
      <c r="D37" s="3">
        <v>46256.574797131078</v>
      </c>
      <c r="E37" s="3">
        <v>46256.575007044419</v>
      </c>
      <c r="F37" t="s">
        <v>32</v>
      </c>
      <c r="G37">
        <v>7</v>
      </c>
      <c r="H37" t="s">
        <v>29</v>
      </c>
      <c r="I37" s="4">
        <f t="shared" si="0"/>
        <v>2.00924196629785</v>
      </c>
      <c r="J37" s="6">
        <f t="shared" si="1"/>
        <v>0.30227521201595664</v>
      </c>
      <c r="K37" s="8">
        <f t="shared" si="2"/>
        <v>2.3115171783138067</v>
      </c>
      <c r="L37">
        <f t="shared" si="3"/>
        <v>0.52</v>
      </c>
    </row>
    <row r="38" spans="1:12" x14ac:dyDescent="0.25">
      <c r="A38">
        <v>37</v>
      </c>
      <c r="B38" s="2">
        <v>46256</v>
      </c>
      <c r="C38" s="3">
        <v>46256.573762953187</v>
      </c>
      <c r="D38" s="3">
        <v>46256.575007044419</v>
      </c>
      <c r="E38" s="3">
        <v>46256.577513863253</v>
      </c>
      <c r="F38" t="s">
        <v>32</v>
      </c>
      <c r="G38">
        <v>7</v>
      </c>
      <c r="H38" t="s">
        <v>29</v>
      </c>
      <c r="I38" s="4">
        <f t="shared" si="0"/>
        <v>1.7914913746062666</v>
      </c>
      <c r="J38" s="6">
        <f t="shared" si="1"/>
        <v>3.6098191200289875</v>
      </c>
      <c r="K38" s="8">
        <f t="shared" si="2"/>
        <v>5.4013104946352541</v>
      </c>
      <c r="L38">
        <f t="shared" si="3"/>
        <v>3.01</v>
      </c>
    </row>
    <row r="39" spans="1:12" x14ac:dyDescent="0.25">
      <c r="A39">
        <v>38</v>
      </c>
      <c r="B39" s="2">
        <v>46256</v>
      </c>
      <c r="C39" s="3">
        <v>46256.57585297164</v>
      </c>
      <c r="D39" s="3">
        <v>46256.577513863253</v>
      </c>
      <c r="E39" s="3">
        <v>46256.578930088122</v>
      </c>
      <c r="F39" t="s">
        <v>32</v>
      </c>
      <c r="G39">
        <v>7</v>
      </c>
      <c r="H39" t="s">
        <v>29</v>
      </c>
      <c r="I39" s="4">
        <f t="shared" si="0"/>
        <v>2.391683921450749</v>
      </c>
      <c r="J39" s="6">
        <f t="shared" si="1"/>
        <v>2.0393638126552105</v>
      </c>
      <c r="K39" s="8">
        <f t="shared" si="2"/>
        <v>4.4310477341059595</v>
      </c>
      <c r="L39">
        <f t="shared" si="3"/>
        <v>0.5</v>
      </c>
    </row>
    <row r="40" spans="1:12" x14ac:dyDescent="0.25">
      <c r="A40">
        <v>39</v>
      </c>
      <c r="B40" s="2">
        <v>46256</v>
      </c>
      <c r="C40" s="3">
        <v>46256.576197840237</v>
      </c>
      <c r="D40" s="3">
        <v>46256.578930088122</v>
      </c>
      <c r="E40" s="3">
        <v>46256.579067036153</v>
      </c>
      <c r="F40" t="s">
        <v>32</v>
      </c>
      <c r="G40">
        <v>7</v>
      </c>
      <c r="H40" t="s">
        <v>29</v>
      </c>
      <c r="I40" s="4">
        <f t="shared" si="0"/>
        <v>3.9344369550235569</v>
      </c>
      <c r="J40" s="6">
        <f t="shared" si="1"/>
        <v>0.19720516400411725</v>
      </c>
      <c r="K40" s="8">
        <f t="shared" si="2"/>
        <v>4.1316421190276742</v>
      </c>
      <c r="L40" t="str">
        <f t="shared" si="3"/>
        <v/>
      </c>
    </row>
    <row r="41" spans="1:12" x14ac:dyDescent="0.25">
      <c r="A41">
        <v>40</v>
      </c>
      <c r="B41" s="2">
        <v>46257</v>
      </c>
      <c r="C41" s="3">
        <v>46257.506183678481</v>
      </c>
      <c r="D41" s="3">
        <v>46257.506183678481</v>
      </c>
      <c r="E41" s="3">
        <v>46257.507642980163</v>
      </c>
      <c r="F41" t="s">
        <v>20</v>
      </c>
      <c r="G41">
        <v>1</v>
      </c>
      <c r="H41" t="s">
        <v>29</v>
      </c>
      <c r="I41" s="4">
        <f t="shared" si="0"/>
        <v>0</v>
      </c>
      <c r="J41" s="6">
        <f t="shared" si="1"/>
        <v>2.101394422352314</v>
      </c>
      <c r="K41" s="8">
        <f t="shared" si="2"/>
        <v>2.101394422352314</v>
      </c>
      <c r="L41">
        <f t="shared" si="3"/>
        <v>10.28</v>
      </c>
    </row>
    <row r="42" spans="1:12" x14ac:dyDescent="0.25">
      <c r="A42">
        <v>41</v>
      </c>
      <c r="B42" s="2">
        <v>46257</v>
      </c>
      <c r="C42" s="3">
        <v>46257.51332176006</v>
      </c>
      <c r="D42" s="3">
        <v>46257.51332176006</v>
      </c>
      <c r="E42" s="3">
        <v>46257.513975279333</v>
      </c>
      <c r="F42" t="s">
        <v>21</v>
      </c>
      <c r="G42">
        <v>3</v>
      </c>
      <c r="H42" t="s">
        <v>29</v>
      </c>
      <c r="I42" s="4">
        <f t="shared" si="0"/>
        <v>0</v>
      </c>
      <c r="J42" s="6">
        <f t="shared" si="1"/>
        <v>0.94106775359250605</v>
      </c>
      <c r="K42" s="8">
        <f t="shared" si="2"/>
        <v>0.94106775359250605</v>
      </c>
      <c r="L42">
        <f t="shared" si="3"/>
        <v>3.92</v>
      </c>
    </row>
    <row r="43" spans="1:12" x14ac:dyDescent="0.25">
      <c r="A43">
        <v>42</v>
      </c>
      <c r="B43" s="2">
        <v>46257</v>
      </c>
      <c r="C43" s="3">
        <v>46257.516041580333</v>
      </c>
      <c r="D43" s="3">
        <v>46257.516041580333</v>
      </c>
      <c r="E43" s="3">
        <v>46257.516285239668</v>
      </c>
      <c r="F43" t="s">
        <v>21</v>
      </c>
      <c r="G43">
        <v>3</v>
      </c>
      <c r="H43" t="s">
        <v>29</v>
      </c>
      <c r="I43" s="4">
        <f t="shared" si="0"/>
        <v>0</v>
      </c>
      <c r="J43" s="6">
        <f t="shared" si="1"/>
        <v>0.35086944233626127</v>
      </c>
      <c r="K43" s="8">
        <f t="shared" si="2"/>
        <v>0.35086944233626127</v>
      </c>
      <c r="L43">
        <f t="shared" si="3"/>
        <v>3.42</v>
      </c>
    </row>
    <row r="44" spans="1:12" x14ac:dyDescent="0.25">
      <c r="A44">
        <v>43</v>
      </c>
      <c r="B44" s="2">
        <v>46257</v>
      </c>
      <c r="C44" s="3">
        <v>46257.51841745097</v>
      </c>
      <c r="D44" s="3">
        <v>46257.51841745097</v>
      </c>
      <c r="E44" s="3">
        <v>46257.524765643793</v>
      </c>
      <c r="F44" t="s">
        <v>21</v>
      </c>
      <c r="G44">
        <v>3</v>
      </c>
      <c r="H44" t="s">
        <v>29</v>
      </c>
      <c r="I44" s="4">
        <f t="shared" si="0"/>
        <v>0</v>
      </c>
      <c r="J44" s="6">
        <f t="shared" si="1"/>
        <v>9.1413976647891104</v>
      </c>
      <c r="K44" s="8">
        <f t="shared" si="2"/>
        <v>9.1413976647891104</v>
      </c>
      <c r="L44">
        <f t="shared" si="3"/>
        <v>4.68</v>
      </c>
    </row>
    <row r="45" spans="1:12" x14ac:dyDescent="0.25">
      <c r="A45">
        <v>44</v>
      </c>
      <c r="B45" s="2">
        <v>46257</v>
      </c>
      <c r="C45" s="3">
        <v>46257.521668226102</v>
      </c>
      <c r="D45" s="3">
        <v>46257.524765643793</v>
      </c>
      <c r="E45" s="3">
        <v>46257.524803438922</v>
      </c>
      <c r="F45" t="s">
        <v>22</v>
      </c>
      <c r="G45">
        <v>4</v>
      </c>
      <c r="H45" t="s">
        <v>29</v>
      </c>
      <c r="I45" s="4">
        <f t="shared" si="0"/>
        <v>4.4602814759127796</v>
      </c>
      <c r="J45" s="6">
        <f t="shared" si="1"/>
        <v>5.4424986010417342E-2</v>
      </c>
      <c r="K45" s="8">
        <f t="shared" si="2"/>
        <v>4.5147064619231969</v>
      </c>
      <c r="L45">
        <f t="shared" si="3"/>
        <v>0.34</v>
      </c>
    </row>
    <row r="46" spans="1:12" x14ac:dyDescent="0.25">
      <c r="A46">
        <v>45</v>
      </c>
      <c r="B46" s="2">
        <v>46257</v>
      </c>
      <c r="C46" s="3">
        <v>46257.521904823603</v>
      </c>
      <c r="D46" s="3">
        <v>46257.524803438922</v>
      </c>
      <c r="E46" s="3">
        <v>46257.526277595069</v>
      </c>
      <c r="F46" t="s">
        <v>22</v>
      </c>
      <c r="G46">
        <v>4</v>
      </c>
      <c r="H46" t="s">
        <v>29</v>
      </c>
      <c r="I46" s="4">
        <f t="shared" si="0"/>
        <v>4.1740060597658157</v>
      </c>
      <c r="J46" s="6">
        <f t="shared" si="1"/>
        <v>2.1227848506532609</v>
      </c>
      <c r="K46" s="8">
        <f t="shared" si="2"/>
        <v>6.2967909104190767</v>
      </c>
      <c r="L46">
        <f t="shared" si="3"/>
        <v>2.5099999999999998</v>
      </c>
    </row>
    <row r="47" spans="1:12" x14ac:dyDescent="0.25">
      <c r="A47">
        <v>46</v>
      </c>
      <c r="B47" s="2">
        <v>46257</v>
      </c>
      <c r="C47" s="3">
        <v>46257.523645607143</v>
      </c>
      <c r="D47" s="3">
        <v>46257.526277595069</v>
      </c>
      <c r="E47" s="3">
        <v>46257.528227831652</v>
      </c>
      <c r="F47" t="s">
        <v>22</v>
      </c>
      <c r="G47">
        <v>4</v>
      </c>
      <c r="H47" t="s">
        <v>29</v>
      </c>
      <c r="I47" s="4">
        <f t="shared" si="0"/>
        <v>3.790062612388283</v>
      </c>
      <c r="J47" s="6">
        <f t="shared" si="1"/>
        <v>2.8083406796213239</v>
      </c>
      <c r="K47" s="8">
        <f t="shared" si="2"/>
        <v>6.598403292009607</v>
      </c>
      <c r="L47">
        <f t="shared" si="3"/>
        <v>0.61</v>
      </c>
    </row>
    <row r="48" spans="1:12" x14ac:dyDescent="0.25">
      <c r="A48">
        <v>47</v>
      </c>
      <c r="B48" s="2">
        <v>46257</v>
      </c>
      <c r="C48" s="3">
        <v>46257.524065934253</v>
      </c>
      <c r="D48" s="3">
        <v>46257.528227831652</v>
      </c>
      <c r="E48" s="3">
        <v>46257.529255710317</v>
      </c>
      <c r="F48" t="s">
        <v>22</v>
      </c>
      <c r="G48">
        <v>4</v>
      </c>
      <c r="H48" t="s">
        <v>29</v>
      </c>
      <c r="I48" s="4">
        <f t="shared" si="0"/>
        <v>5.9931322548072785</v>
      </c>
      <c r="J48" s="6">
        <f t="shared" si="1"/>
        <v>1.4801452774554491</v>
      </c>
      <c r="K48" s="8">
        <f t="shared" si="2"/>
        <v>7.4732775322627276</v>
      </c>
      <c r="L48">
        <f t="shared" si="3"/>
        <v>6.07</v>
      </c>
    </row>
    <row r="49" spans="1:12" x14ac:dyDescent="0.25">
      <c r="A49">
        <v>48</v>
      </c>
      <c r="B49" s="2">
        <v>46257</v>
      </c>
      <c r="C49" s="3">
        <v>46257.528283746367</v>
      </c>
      <c r="D49" s="3">
        <v>46257.529255710317</v>
      </c>
      <c r="E49" s="3">
        <v>46257.531504542727</v>
      </c>
      <c r="F49" t="s">
        <v>23</v>
      </c>
      <c r="G49">
        <v>2</v>
      </c>
      <c r="H49" t="s">
        <v>29</v>
      </c>
      <c r="I49" s="4">
        <f t="shared" si="0"/>
        <v>1.3996280869469047</v>
      </c>
      <c r="J49" s="6">
        <f t="shared" si="1"/>
        <v>3.2383186707738787</v>
      </c>
      <c r="K49" s="8">
        <f t="shared" si="2"/>
        <v>4.6379467577207834</v>
      </c>
      <c r="L49">
        <f t="shared" si="3"/>
        <v>4.3099999999999996</v>
      </c>
    </row>
    <row r="50" spans="1:12" x14ac:dyDescent="0.25">
      <c r="A50">
        <v>49</v>
      </c>
      <c r="B50" s="2">
        <v>46257</v>
      </c>
      <c r="C50" s="3">
        <v>46257.531273346853</v>
      </c>
      <c r="D50" s="3">
        <v>46257.531504542727</v>
      </c>
      <c r="E50" s="3">
        <v>46257.532233772283</v>
      </c>
      <c r="F50" t="s">
        <v>23</v>
      </c>
      <c r="G50">
        <v>2</v>
      </c>
      <c r="H50" t="s">
        <v>29</v>
      </c>
      <c r="I50" s="4">
        <f t="shared" si="0"/>
        <v>0.33292205887846649</v>
      </c>
      <c r="J50" s="6">
        <f t="shared" si="1"/>
        <v>1.0500905604567379</v>
      </c>
      <c r="K50" s="8">
        <f t="shared" si="2"/>
        <v>1.3830126193352044</v>
      </c>
      <c r="L50">
        <f t="shared" si="3"/>
        <v>2.44</v>
      </c>
    </row>
    <row r="51" spans="1:12" x14ac:dyDescent="0.25">
      <c r="A51">
        <v>50</v>
      </c>
      <c r="B51" s="2">
        <v>46257</v>
      </c>
      <c r="C51" s="3">
        <v>46257.532966667517</v>
      </c>
      <c r="D51" s="3">
        <v>46257.532966667517</v>
      </c>
      <c r="E51" s="3">
        <v>46257.534929721769</v>
      </c>
      <c r="F51" t="s">
        <v>24</v>
      </c>
      <c r="G51">
        <v>8</v>
      </c>
      <c r="H51" t="s">
        <v>29</v>
      </c>
      <c r="I51" s="4">
        <f t="shared" si="0"/>
        <v>0</v>
      </c>
      <c r="J51" s="6">
        <f t="shared" si="1"/>
        <v>2.8267981228418648</v>
      </c>
      <c r="K51" s="8">
        <f t="shared" si="2"/>
        <v>2.8267981228418648</v>
      </c>
      <c r="L51">
        <f t="shared" si="3"/>
        <v>0.9</v>
      </c>
    </row>
    <row r="52" spans="1:12" x14ac:dyDescent="0.25">
      <c r="A52">
        <v>51</v>
      </c>
      <c r="B52" s="2">
        <v>46257</v>
      </c>
      <c r="C52" s="3">
        <v>46257.533589039143</v>
      </c>
      <c r="D52" s="3">
        <v>46257.534929721769</v>
      </c>
      <c r="E52" s="3">
        <v>46257.537002317244</v>
      </c>
      <c r="F52" t="s">
        <v>24</v>
      </c>
      <c r="G52">
        <v>8</v>
      </c>
      <c r="H52" t="s">
        <v>29</v>
      </c>
      <c r="I52" s="4">
        <f t="shared" si="0"/>
        <v>1.930582980858162</v>
      </c>
      <c r="J52" s="6">
        <f t="shared" si="1"/>
        <v>2.9845374834258109</v>
      </c>
      <c r="K52" s="8">
        <f t="shared" si="2"/>
        <v>4.915120464283973</v>
      </c>
      <c r="L52">
        <f t="shared" si="3"/>
        <v>0.28999999999999998</v>
      </c>
    </row>
    <row r="53" spans="1:12" x14ac:dyDescent="0.25">
      <c r="A53">
        <v>52</v>
      </c>
      <c r="B53" s="2">
        <v>46257</v>
      </c>
      <c r="C53" s="3">
        <v>46257.533787260269</v>
      </c>
      <c r="D53" s="3">
        <v>46257.537002317244</v>
      </c>
      <c r="E53" s="3">
        <v>46257.537696681982</v>
      </c>
      <c r="F53" t="s">
        <v>24</v>
      </c>
      <c r="G53">
        <v>8</v>
      </c>
      <c r="H53" t="s">
        <v>29</v>
      </c>
      <c r="I53" s="4">
        <f t="shared" si="0"/>
        <v>4.6296820440329611</v>
      </c>
      <c r="J53" s="6">
        <f t="shared" si="1"/>
        <v>0.99988522357307374</v>
      </c>
      <c r="K53" s="8">
        <f t="shared" si="2"/>
        <v>5.6295672676060349</v>
      </c>
      <c r="L53">
        <f t="shared" si="3"/>
        <v>1.97</v>
      </c>
    </row>
    <row r="54" spans="1:12" x14ac:dyDescent="0.25">
      <c r="A54">
        <v>53</v>
      </c>
      <c r="B54" s="2">
        <v>46257</v>
      </c>
      <c r="C54" s="3">
        <v>46257.535158126353</v>
      </c>
      <c r="D54" s="3">
        <v>46257.537696681982</v>
      </c>
      <c r="E54" s="3">
        <v>46257.538124241342</v>
      </c>
      <c r="F54" t="s">
        <v>24</v>
      </c>
      <c r="G54">
        <v>8</v>
      </c>
      <c r="H54" t="s">
        <v>29</v>
      </c>
      <c r="I54" s="4">
        <f t="shared" si="0"/>
        <v>3.6555201059672982</v>
      </c>
      <c r="J54" s="6">
        <f t="shared" si="1"/>
        <v>0.61568547855131328</v>
      </c>
      <c r="K54" s="8">
        <f t="shared" si="2"/>
        <v>4.2712055845186114</v>
      </c>
      <c r="L54">
        <f t="shared" si="3"/>
        <v>1.74</v>
      </c>
    </row>
    <row r="55" spans="1:12" x14ac:dyDescent="0.25">
      <c r="A55">
        <v>54</v>
      </c>
      <c r="B55" s="2">
        <v>46257</v>
      </c>
      <c r="C55" s="3">
        <v>46257.536366880333</v>
      </c>
      <c r="D55" s="3">
        <v>46257.538124241342</v>
      </c>
      <c r="E55" s="3">
        <v>46257.540759724543</v>
      </c>
      <c r="F55" t="s">
        <v>24</v>
      </c>
      <c r="G55">
        <v>8</v>
      </c>
      <c r="H55" t="s">
        <v>29</v>
      </c>
      <c r="I55" s="4">
        <f t="shared" si="0"/>
        <v>2.530599853489548</v>
      </c>
      <c r="J55" s="6">
        <f t="shared" si="1"/>
        <v>3.7950958090368658</v>
      </c>
      <c r="K55" s="8">
        <f t="shared" si="2"/>
        <v>6.3256956625264138</v>
      </c>
      <c r="L55">
        <f t="shared" si="3"/>
        <v>0.31</v>
      </c>
    </row>
    <row r="56" spans="1:12" x14ac:dyDescent="0.25">
      <c r="A56">
        <v>55</v>
      </c>
      <c r="B56" s="2">
        <v>46257</v>
      </c>
      <c r="C56" s="3">
        <v>46257.536580933309</v>
      </c>
      <c r="D56" s="3">
        <v>46257.540759724543</v>
      </c>
      <c r="E56" s="3">
        <v>46257.541951977917</v>
      </c>
      <c r="F56" t="s">
        <v>24</v>
      </c>
      <c r="G56">
        <v>8</v>
      </c>
      <c r="H56" t="s">
        <v>29</v>
      </c>
      <c r="I56" s="4">
        <f t="shared" si="0"/>
        <v>6.0174593771807849</v>
      </c>
      <c r="J56" s="6">
        <f t="shared" si="1"/>
        <v>1.7168448586016893</v>
      </c>
      <c r="K56" s="8">
        <f t="shared" si="2"/>
        <v>7.7343042357824743</v>
      </c>
      <c r="L56">
        <f t="shared" si="3"/>
        <v>0.54</v>
      </c>
    </row>
    <row r="57" spans="1:12" x14ac:dyDescent="0.25">
      <c r="A57">
        <v>56</v>
      </c>
      <c r="B57" s="2">
        <v>46257</v>
      </c>
      <c r="C57" s="3">
        <v>46257.536955180592</v>
      </c>
      <c r="D57" s="3">
        <v>46257.541951977917</v>
      </c>
      <c r="E57" s="3">
        <v>46257.545267790483</v>
      </c>
      <c r="F57" t="s">
        <v>24</v>
      </c>
      <c r="G57">
        <v>8</v>
      </c>
      <c r="H57" t="s">
        <v>29</v>
      </c>
      <c r="I57" s="4">
        <f t="shared" si="0"/>
        <v>7.1953881473746151</v>
      </c>
      <c r="J57" s="6">
        <f t="shared" si="1"/>
        <v>4.7747700952459127</v>
      </c>
      <c r="K57" s="8">
        <f t="shared" si="2"/>
        <v>11.970158242620528</v>
      </c>
      <c r="L57">
        <f t="shared" si="3"/>
        <v>1.93</v>
      </c>
    </row>
    <row r="58" spans="1:12" x14ac:dyDescent="0.25">
      <c r="A58">
        <v>57</v>
      </c>
      <c r="B58" s="2">
        <v>46257</v>
      </c>
      <c r="C58" s="3">
        <v>46257.538298298772</v>
      </c>
      <c r="D58" s="3">
        <v>46257.545267790483</v>
      </c>
      <c r="E58" s="3">
        <v>46257.548311737752</v>
      </c>
      <c r="F58" t="s">
        <v>24</v>
      </c>
      <c r="G58">
        <v>8</v>
      </c>
      <c r="H58" t="s">
        <v>29</v>
      </c>
      <c r="I58" s="4">
        <f t="shared" si="0"/>
        <v>10.036068063927814</v>
      </c>
      <c r="J58" s="6">
        <f t="shared" si="1"/>
        <v>4.3832840665709227</v>
      </c>
      <c r="K58" s="8">
        <f t="shared" si="2"/>
        <v>14.419352130498737</v>
      </c>
      <c r="L58">
        <f t="shared" si="3"/>
        <v>4.76</v>
      </c>
    </row>
    <row r="59" spans="1:12" x14ac:dyDescent="0.25">
      <c r="A59">
        <v>58</v>
      </c>
      <c r="B59" s="2">
        <v>46257</v>
      </c>
      <c r="C59" s="3">
        <v>46257.541607171734</v>
      </c>
      <c r="D59" s="3">
        <v>46257.548311737752</v>
      </c>
      <c r="E59" s="3">
        <v>46257.548508957298</v>
      </c>
      <c r="F59" t="s">
        <v>25</v>
      </c>
      <c r="G59">
        <v>4</v>
      </c>
      <c r="H59" t="s">
        <v>29</v>
      </c>
      <c r="I59" s="4">
        <f t="shared" si="0"/>
        <v>9.6545750659424812</v>
      </c>
      <c r="J59" s="6">
        <f t="shared" si="1"/>
        <v>0.28399614617228508</v>
      </c>
      <c r="K59" s="8">
        <f t="shared" si="2"/>
        <v>9.9385712121147662</v>
      </c>
      <c r="L59">
        <f t="shared" si="3"/>
        <v>0.28000000000000003</v>
      </c>
    </row>
    <row r="60" spans="1:12" x14ac:dyDescent="0.25">
      <c r="A60">
        <v>59</v>
      </c>
      <c r="B60" s="2">
        <v>46257</v>
      </c>
      <c r="C60" s="3">
        <v>46257.541803362757</v>
      </c>
      <c r="D60" s="3">
        <v>46257.548508957298</v>
      </c>
      <c r="E60" s="3">
        <v>46257.549314171723</v>
      </c>
      <c r="F60" t="s">
        <v>25</v>
      </c>
      <c r="G60">
        <v>4</v>
      </c>
      <c r="H60" t="s">
        <v>29</v>
      </c>
      <c r="I60" s="4">
        <f t="shared" si="0"/>
        <v>9.6560561377555132</v>
      </c>
      <c r="J60" s="6">
        <f t="shared" si="1"/>
        <v>1.1595087731257081</v>
      </c>
      <c r="K60" s="8">
        <f t="shared" si="2"/>
        <v>10.815564910881221</v>
      </c>
      <c r="L60">
        <f t="shared" si="3"/>
        <v>2.6</v>
      </c>
    </row>
    <row r="61" spans="1:12" x14ac:dyDescent="0.25">
      <c r="A61">
        <v>60</v>
      </c>
      <c r="B61" s="2">
        <v>46257</v>
      </c>
      <c r="C61" s="3">
        <v>46257.543608618987</v>
      </c>
      <c r="D61" s="3">
        <v>46257.549314171723</v>
      </c>
      <c r="E61" s="3">
        <v>46257.551275038277</v>
      </c>
      <c r="F61" t="s">
        <v>25</v>
      </c>
      <c r="G61">
        <v>4</v>
      </c>
      <c r="H61" t="s">
        <v>29</v>
      </c>
      <c r="I61" s="4">
        <f t="shared" si="0"/>
        <v>8.2159959396813065</v>
      </c>
      <c r="J61" s="6">
        <f t="shared" si="1"/>
        <v>2.8236478369217366</v>
      </c>
      <c r="K61" s="8">
        <f t="shared" si="2"/>
        <v>11.039643776603043</v>
      </c>
      <c r="L61">
        <f t="shared" si="3"/>
        <v>2.2200000000000002</v>
      </c>
    </row>
    <row r="62" spans="1:12" x14ac:dyDescent="0.25">
      <c r="A62">
        <v>61</v>
      </c>
      <c r="B62" s="2">
        <v>46257</v>
      </c>
      <c r="C62" s="3">
        <v>46257.545153155457</v>
      </c>
      <c r="D62" s="3">
        <v>46257.551275038277</v>
      </c>
      <c r="E62" s="3">
        <v>46257.552568726132</v>
      </c>
      <c r="F62" t="s">
        <v>25</v>
      </c>
      <c r="G62">
        <v>4</v>
      </c>
      <c r="H62" t="s">
        <v>29</v>
      </c>
      <c r="I62" s="4">
        <f t="shared" si="0"/>
        <v>8.8155112601816654</v>
      </c>
      <c r="J62" s="6">
        <f t="shared" si="1"/>
        <v>1.8629105121362954</v>
      </c>
      <c r="K62" s="8">
        <f t="shared" si="2"/>
        <v>10.678421772317961</v>
      </c>
      <c r="L62">
        <f t="shared" si="3"/>
        <v>2.25</v>
      </c>
    </row>
    <row r="63" spans="1:12" x14ac:dyDescent="0.25">
      <c r="A63">
        <v>62</v>
      </c>
      <c r="B63" s="2">
        <v>46257</v>
      </c>
      <c r="C63" s="3">
        <v>46257.546713234442</v>
      </c>
      <c r="D63" s="3">
        <v>46257.552568726132</v>
      </c>
      <c r="E63" s="3">
        <v>46257.553358526551</v>
      </c>
      <c r="F63" t="s">
        <v>26</v>
      </c>
      <c r="G63">
        <v>6</v>
      </c>
      <c r="H63" t="s">
        <v>29</v>
      </c>
      <c r="I63" s="4">
        <f t="shared" si="0"/>
        <v>8.4319080342538655</v>
      </c>
      <c r="J63" s="6">
        <f t="shared" si="1"/>
        <v>1.13731260295026</v>
      </c>
      <c r="K63" s="8">
        <f t="shared" si="2"/>
        <v>9.5692206372041255</v>
      </c>
      <c r="L63">
        <f t="shared" si="3"/>
        <v>1.39</v>
      </c>
    </row>
    <row r="64" spans="1:12" x14ac:dyDescent="0.25">
      <c r="A64">
        <v>63</v>
      </c>
      <c r="B64" s="2">
        <v>46257</v>
      </c>
      <c r="C64" s="3">
        <v>46257.547675392132</v>
      </c>
      <c r="D64" s="3">
        <v>46257.553358526551</v>
      </c>
      <c r="E64" s="3">
        <v>46257.5555860319</v>
      </c>
      <c r="F64" t="s">
        <v>26</v>
      </c>
      <c r="G64">
        <v>6</v>
      </c>
      <c r="H64" t="s">
        <v>29</v>
      </c>
      <c r="I64" s="4">
        <f t="shared" si="0"/>
        <v>8.1837135634850711</v>
      </c>
      <c r="J64" s="6">
        <f t="shared" si="1"/>
        <v>3.2076077023521066</v>
      </c>
      <c r="K64" s="8">
        <f t="shared" si="2"/>
        <v>11.391321265837178</v>
      </c>
      <c r="L64">
        <f t="shared" si="3"/>
        <v>2.09</v>
      </c>
    </row>
    <row r="65" spans="1:12" x14ac:dyDescent="0.25">
      <c r="A65">
        <v>64</v>
      </c>
      <c r="B65" s="2">
        <v>46257</v>
      </c>
      <c r="C65" s="3">
        <v>46257.549125257559</v>
      </c>
      <c r="D65" s="3">
        <v>46257.5555860319</v>
      </c>
      <c r="E65" s="3">
        <v>46257.555592264158</v>
      </c>
      <c r="F65" t="s">
        <v>26</v>
      </c>
      <c r="G65">
        <v>6</v>
      </c>
      <c r="H65" t="s">
        <v>29</v>
      </c>
      <c r="I65" s="4">
        <f t="shared" si="0"/>
        <v>9.303515050560236</v>
      </c>
      <c r="J65" s="6">
        <f t="shared" si="1"/>
        <v>8.9744513388723135E-3</v>
      </c>
      <c r="K65" s="8">
        <f t="shared" si="2"/>
        <v>9.3124895018991083</v>
      </c>
      <c r="L65">
        <f t="shared" si="3"/>
        <v>0.06</v>
      </c>
    </row>
    <row r="66" spans="1:12" x14ac:dyDescent="0.25">
      <c r="A66">
        <v>65</v>
      </c>
      <c r="B66" s="2">
        <v>46257</v>
      </c>
      <c r="C66" s="3">
        <v>46257.549163514523</v>
      </c>
      <c r="D66" s="3">
        <v>46257.555592264158</v>
      </c>
      <c r="E66" s="3">
        <v>46257.557790441409</v>
      </c>
      <c r="F66" t="s">
        <v>26</v>
      </c>
      <c r="G66">
        <v>6</v>
      </c>
      <c r="H66" t="s">
        <v>29</v>
      </c>
      <c r="I66" s="4">
        <f t="shared" si="0"/>
        <v>9.2573994747363031</v>
      </c>
      <c r="J66" s="6">
        <f t="shared" si="1"/>
        <v>3.1653752422425896</v>
      </c>
      <c r="K66" s="8">
        <f t="shared" si="2"/>
        <v>12.422774716978893</v>
      </c>
      <c r="L66">
        <f t="shared" si="3"/>
        <v>1.94</v>
      </c>
    </row>
    <row r="67" spans="1:12" x14ac:dyDescent="0.25">
      <c r="A67">
        <v>66</v>
      </c>
      <c r="B67" s="2">
        <v>46257</v>
      </c>
      <c r="C67" s="3">
        <v>46257.550514201474</v>
      </c>
      <c r="D67" s="3">
        <v>46257.557790441409</v>
      </c>
      <c r="E67" s="3">
        <v>46257.558058836286</v>
      </c>
      <c r="F67" t="s">
        <v>26</v>
      </c>
      <c r="G67">
        <v>6</v>
      </c>
      <c r="H67" t="s">
        <v>29</v>
      </c>
      <c r="I67" s="4">
        <f t="shared" ref="I67:I81" si="4">(D67-C67)*1440</f>
        <v>10.477785507682711</v>
      </c>
      <c r="J67" s="6">
        <f t="shared" ref="J67:J81" si="5">(E67-D67)*1440</f>
        <v>0.3864886227529496</v>
      </c>
      <c r="K67" s="8">
        <f t="shared" ref="K67:K81" si="6">I67+J67</f>
        <v>10.86427413043566</v>
      </c>
      <c r="L67">
        <f t="shared" ref="L67:L80" si="7">IF(B67=B68,ROUND((C68-C67)*1440,2),"")</f>
        <v>1.0900000000000001</v>
      </c>
    </row>
    <row r="68" spans="1:12" x14ac:dyDescent="0.25">
      <c r="A68">
        <v>67</v>
      </c>
      <c r="B68" s="2">
        <v>46257</v>
      </c>
      <c r="C68" s="3">
        <v>46257.551271659861</v>
      </c>
      <c r="D68" s="3">
        <v>46257.558058836286</v>
      </c>
      <c r="E68" s="3">
        <v>46257.558069895553</v>
      </c>
      <c r="F68" t="s">
        <v>26</v>
      </c>
      <c r="G68">
        <v>6</v>
      </c>
      <c r="H68" t="s">
        <v>29</v>
      </c>
      <c r="I68" s="4">
        <f t="shared" si="4"/>
        <v>9.7735340532381088</v>
      </c>
      <c r="J68" s="6">
        <f t="shared" si="5"/>
        <v>1.5925343614071608E-2</v>
      </c>
      <c r="K68" s="8">
        <f t="shared" si="6"/>
        <v>9.7894593968521804</v>
      </c>
      <c r="L68">
        <f t="shared" si="7"/>
        <v>3.86</v>
      </c>
    </row>
    <row r="69" spans="1:12" x14ac:dyDescent="0.25">
      <c r="A69">
        <v>68</v>
      </c>
      <c r="B69" s="2">
        <v>46257</v>
      </c>
      <c r="C69" s="3">
        <v>46257.553952466667</v>
      </c>
      <c r="D69" s="3">
        <v>46257.558069895553</v>
      </c>
      <c r="E69" s="3">
        <v>46257.56488482956</v>
      </c>
      <c r="F69" t="s">
        <v>27</v>
      </c>
      <c r="G69">
        <v>4</v>
      </c>
      <c r="H69" t="s">
        <v>29</v>
      </c>
      <c r="I69" s="4">
        <f t="shared" si="4"/>
        <v>5.9290975949261338</v>
      </c>
      <c r="J69" s="6">
        <f t="shared" si="5"/>
        <v>9.8135049710981548</v>
      </c>
      <c r="K69" s="8">
        <f t="shared" si="6"/>
        <v>15.742602566024289</v>
      </c>
      <c r="L69">
        <f t="shared" si="7"/>
        <v>2.66</v>
      </c>
    </row>
    <row r="70" spans="1:12" x14ac:dyDescent="0.25">
      <c r="A70">
        <v>69</v>
      </c>
      <c r="B70" s="2">
        <v>46257</v>
      </c>
      <c r="C70" s="3">
        <v>46257.55580229441</v>
      </c>
      <c r="D70" s="3">
        <v>46257.56488482956</v>
      </c>
      <c r="E70" s="3">
        <v>46257.566052567643</v>
      </c>
      <c r="F70" t="s">
        <v>27</v>
      </c>
      <c r="G70">
        <v>4</v>
      </c>
      <c r="H70" t="s">
        <v>29</v>
      </c>
      <c r="I70" s="4">
        <f t="shared" si="4"/>
        <v>13.078850617166609</v>
      </c>
      <c r="J70" s="6">
        <f t="shared" si="5"/>
        <v>1.6815428389236331</v>
      </c>
      <c r="K70" s="8">
        <f t="shared" si="6"/>
        <v>14.760393456090242</v>
      </c>
      <c r="L70">
        <f t="shared" si="7"/>
        <v>1.02</v>
      </c>
    </row>
    <row r="71" spans="1:12" x14ac:dyDescent="0.25">
      <c r="A71">
        <v>70</v>
      </c>
      <c r="B71" s="2">
        <v>46257</v>
      </c>
      <c r="C71" s="3">
        <v>46257.556508946633</v>
      </c>
      <c r="D71" s="3">
        <v>46257.566052567643</v>
      </c>
      <c r="E71" s="3">
        <v>46257.566864565197</v>
      </c>
      <c r="F71" t="s">
        <v>27</v>
      </c>
      <c r="G71">
        <v>4</v>
      </c>
      <c r="H71" t="s">
        <v>29</v>
      </c>
      <c r="I71" s="4">
        <f t="shared" si="4"/>
        <v>13.742814254947007</v>
      </c>
      <c r="J71" s="6">
        <f t="shared" si="5"/>
        <v>1.1692764773033559</v>
      </c>
      <c r="K71" s="8">
        <f t="shared" si="6"/>
        <v>14.912090732250363</v>
      </c>
      <c r="L71">
        <f t="shared" si="7"/>
        <v>2.12</v>
      </c>
    </row>
    <row r="72" spans="1:12" x14ac:dyDescent="0.25">
      <c r="A72">
        <v>71</v>
      </c>
      <c r="B72" s="2">
        <v>46257</v>
      </c>
      <c r="C72" s="3">
        <v>46257.55797795704</v>
      </c>
      <c r="D72" s="3">
        <v>46257.566864565197</v>
      </c>
      <c r="E72" s="3">
        <v>46257.568300367922</v>
      </c>
      <c r="F72" t="s">
        <v>27</v>
      </c>
      <c r="G72">
        <v>4</v>
      </c>
      <c r="H72" t="s">
        <v>29</v>
      </c>
      <c r="I72" s="4">
        <f t="shared" si="4"/>
        <v>12.796715745935217</v>
      </c>
      <c r="J72" s="6">
        <f t="shared" si="5"/>
        <v>2.0675559248775244</v>
      </c>
      <c r="K72" s="8">
        <f t="shared" si="6"/>
        <v>14.864271670812741</v>
      </c>
      <c r="L72">
        <f t="shared" si="7"/>
        <v>7.65</v>
      </c>
    </row>
    <row r="73" spans="1:12" x14ac:dyDescent="0.25">
      <c r="A73">
        <v>72</v>
      </c>
      <c r="B73" s="2">
        <v>46257</v>
      </c>
      <c r="C73" s="3">
        <v>46257.563289575068</v>
      </c>
      <c r="D73" s="3">
        <v>46257.568300367922</v>
      </c>
      <c r="E73" s="3">
        <v>46257.570473160937</v>
      </c>
      <c r="F73" t="s">
        <v>28</v>
      </c>
      <c r="G73">
        <v>3</v>
      </c>
      <c r="H73" t="s">
        <v>29</v>
      </c>
      <c r="I73" s="4">
        <f t="shared" si="4"/>
        <v>7.2155417106114328</v>
      </c>
      <c r="J73" s="6">
        <f t="shared" si="5"/>
        <v>3.1288219406269491</v>
      </c>
      <c r="K73" s="8">
        <f t="shared" si="6"/>
        <v>10.344363651238382</v>
      </c>
      <c r="L73">
        <f t="shared" si="7"/>
        <v>4.41</v>
      </c>
    </row>
    <row r="74" spans="1:12" x14ac:dyDescent="0.25">
      <c r="A74">
        <v>73</v>
      </c>
      <c r="B74" s="2">
        <v>46257</v>
      </c>
      <c r="C74" s="3">
        <v>46257.566348947803</v>
      </c>
      <c r="D74" s="3">
        <v>46257.570473160937</v>
      </c>
      <c r="E74" s="3">
        <v>46257.579056952061</v>
      </c>
      <c r="F74" t="s">
        <v>28</v>
      </c>
      <c r="G74">
        <v>3</v>
      </c>
      <c r="H74" t="s">
        <v>29</v>
      </c>
      <c r="I74" s="4">
        <f t="shared" si="4"/>
        <v>5.9388669126201421</v>
      </c>
      <c r="J74" s="6">
        <f t="shared" si="5"/>
        <v>12.360659219557419</v>
      </c>
      <c r="K74" s="8">
        <f t="shared" si="6"/>
        <v>18.299526132177562</v>
      </c>
      <c r="L74">
        <f t="shared" si="7"/>
        <v>0.39</v>
      </c>
    </row>
    <row r="75" spans="1:12" x14ac:dyDescent="0.25">
      <c r="A75">
        <v>74</v>
      </c>
      <c r="B75" s="2">
        <v>46257</v>
      </c>
      <c r="C75" s="3">
        <v>46257.566619494828</v>
      </c>
      <c r="D75" s="3">
        <v>46257.579056952061</v>
      </c>
      <c r="E75" s="3">
        <v>46257.582981304811</v>
      </c>
      <c r="F75" t="s">
        <v>28</v>
      </c>
      <c r="G75">
        <v>3</v>
      </c>
      <c r="H75" t="s">
        <v>29</v>
      </c>
      <c r="I75" s="4">
        <f t="shared" si="4"/>
        <v>17.909938415978104</v>
      </c>
      <c r="J75" s="6">
        <f t="shared" si="5"/>
        <v>5.6510679598432034</v>
      </c>
      <c r="K75" s="8">
        <f t="shared" si="6"/>
        <v>23.561006375821307</v>
      </c>
      <c r="L75">
        <f t="shared" si="7"/>
        <v>11.28</v>
      </c>
    </row>
    <row r="76" spans="1:12" x14ac:dyDescent="0.25">
      <c r="A76">
        <v>75</v>
      </c>
      <c r="B76" s="2">
        <v>46257</v>
      </c>
      <c r="C76" s="3">
        <v>46257.574449689047</v>
      </c>
      <c r="D76" s="3">
        <v>46257.582981304811</v>
      </c>
      <c r="E76" s="3">
        <v>46257.583869599403</v>
      </c>
      <c r="F76" t="s">
        <v>31</v>
      </c>
      <c r="G76">
        <v>6</v>
      </c>
      <c r="H76" t="s">
        <v>29</v>
      </c>
      <c r="I76" s="4">
        <f t="shared" si="4"/>
        <v>12.285526699852198</v>
      </c>
      <c r="J76" s="6">
        <f t="shared" si="5"/>
        <v>1.2791442114394158</v>
      </c>
      <c r="K76" s="8">
        <f t="shared" si="6"/>
        <v>13.564670911291614</v>
      </c>
      <c r="L76">
        <f t="shared" si="7"/>
        <v>1.47</v>
      </c>
    </row>
    <row r="77" spans="1:12" x14ac:dyDescent="0.25">
      <c r="A77">
        <v>76</v>
      </c>
      <c r="B77" s="2">
        <v>46257</v>
      </c>
      <c r="C77" s="3">
        <v>46257.575471485208</v>
      </c>
      <c r="D77" s="3">
        <v>46257.583869599403</v>
      </c>
      <c r="E77" s="3">
        <v>46257.588304391757</v>
      </c>
      <c r="F77" t="s">
        <v>31</v>
      </c>
      <c r="G77">
        <v>6</v>
      </c>
      <c r="H77" t="s">
        <v>29</v>
      </c>
      <c r="I77" s="4">
        <f t="shared" si="4"/>
        <v>12.093284439761192</v>
      </c>
      <c r="J77" s="6">
        <f t="shared" si="5"/>
        <v>6.3861009897664189</v>
      </c>
      <c r="K77" s="8">
        <f t="shared" si="6"/>
        <v>18.479385429527611</v>
      </c>
      <c r="L77">
        <f t="shared" si="7"/>
        <v>0.36</v>
      </c>
    </row>
    <row r="78" spans="1:12" x14ac:dyDescent="0.25">
      <c r="A78">
        <v>77</v>
      </c>
      <c r="B78" s="2">
        <v>46257</v>
      </c>
      <c r="C78" s="3">
        <v>46257.575723051843</v>
      </c>
      <c r="D78" s="3">
        <v>46257.588304391757</v>
      </c>
      <c r="E78" s="3">
        <v>46257.588414460617</v>
      </c>
      <c r="F78" t="s">
        <v>31</v>
      </c>
      <c r="G78">
        <v>6</v>
      </c>
      <c r="H78" t="s">
        <v>29</v>
      </c>
      <c r="I78" s="4">
        <f t="shared" si="4"/>
        <v>18.117129475576803</v>
      </c>
      <c r="J78" s="6">
        <f t="shared" si="5"/>
        <v>0.15849915915168822</v>
      </c>
      <c r="K78" s="8">
        <f t="shared" si="6"/>
        <v>18.275628634728491</v>
      </c>
      <c r="L78">
        <f t="shared" si="7"/>
        <v>5.28</v>
      </c>
    </row>
    <row r="79" spans="1:12" x14ac:dyDescent="0.25">
      <c r="A79">
        <v>78</v>
      </c>
      <c r="B79" s="2">
        <v>46257</v>
      </c>
      <c r="C79" s="3">
        <v>46257.579387850543</v>
      </c>
      <c r="D79" s="3">
        <v>46257.588414460617</v>
      </c>
      <c r="E79" s="3">
        <v>46257.591590425764</v>
      </c>
      <c r="F79" t="s">
        <v>31</v>
      </c>
      <c r="G79">
        <v>6</v>
      </c>
      <c r="H79" t="s">
        <v>29</v>
      </c>
      <c r="I79" s="4">
        <f t="shared" si="4"/>
        <v>12.998318506870419</v>
      </c>
      <c r="J79" s="6">
        <f t="shared" si="5"/>
        <v>4.573389810975641</v>
      </c>
      <c r="K79" s="8">
        <f t="shared" si="6"/>
        <v>17.57170831784606</v>
      </c>
      <c r="L79">
        <f t="shared" si="7"/>
        <v>0.3</v>
      </c>
    </row>
    <row r="80" spans="1:12" x14ac:dyDescent="0.25">
      <c r="A80">
        <v>79</v>
      </c>
      <c r="B80" s="2">
        <v>46257</v>
      </c>
      <c r="C80" s="3">
        <v>46257.579598135017</v>
      </c>
      <c r="D80" s="3">
        <v>46257.591590425764</v>
      </c>
      <c r="E80" s="3">
        <v>46257.591875993297</v>
      </c>
      <c r="F80" t="s">
        <v>31</v>
      </c>
      <c r="G80">
        <v>6</v>
      </c>
      <c r="H80" t="s">
        <v>29</v>
      </c>
      <c r="I80" s="4">
        <f t="shared" si="4"/>
        <v>17.268898675683886</v>
      </c>
      <c r="J80" s="6">
        <f t="shared" si="5"/>
        <v>0.41121724876575172</v>
      </c>
      <c r="K80" s="8">
        <f t="shared" si="6"/>
        <v>17.680115924449638</v>
      </c>
      <c r="L80">
        <f t="shared" si="7"/>
        <v>2.31</v>
      </c>
    </row>
    <row r="81" spans="1:11" x14ac:dyDescent="0.25">
      <c r="A81">
        <v>80</v>
      </c>
      <c r="B81" s="2">
        <v>46257</v>
      </c>
      <c r="C81" s="3">
        <v>46257.581204842463</v>
      </c>
      <c r="D81" s="3">
        <v>46257.591875993297</v>
      </c>
      <c r="E81" s="3">
        <v>46257.598184513627</v>
      </c>
      <c r="F81" t="s">
        <v>31</v>
      </c>
      <c r="G81">
        <v>6</v>
      </c>
      <c r="H81" t="s">
        <v>29</v>
      </c>
      <c r="I81" s="4">
        <f t="shared" si="4"/>
        <v>15.366457201307639</v>
      </c>
      <c r="J81" s="6">
        <f t="shared" si="5"/>
        <v>9.0842692740261555</v>
      </c>
      <c r="K81" s="8">
        <f t="shared" si="6"/>
        <v>24.450726475333795</v>
      </c>
    </row>
    <row r="82" spans="1:11" x14ac:dyDescent="0.25">
      <c r="I82" s="4"/>
    </row>
  </sheetData>
  <autoFilter ref="A1:L81" xr:uid="{00000000-0009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80F585ACC6394D940A341890B29E43" ma:contentTypeVersion="13" ma:contentTypeDescription="Create a new document." ma:contentTypeScope="" ma:versionID="d1f1fcebf4b6756f6d1fc9d9c3b3fa3b">
  <xsd:schema xmlns:xsd="http://www.w3.org/2001/XMLSchema" xmlns:xs="http://www.w3.org/2001/XMLSchema" xmlns:p="http://schemas.microsoft.com/office/2006/metadata/properties" xmlns:ns2="7a056484-224d-44b1-98a6-1e28755ac544" xmlns:ns3="a85a52da-888d-44f6-a876-043783891b0c" targetNamespace="http://schemas.microsoft.com/office/2006/metadata/properties" ma:root="true" ma:fieldsID="4b3f257e48ff9960a0b3d6bd1a4158eb" ns2:_="" ns3:_="">
    <xsd:import namespace="7a056484-224d-44b1-98a6-1e28755ac544"/>
    <xsd:import namespace="a85a52da-888d-44f6-a876-043783891b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56484-224d-44b1-98a6-1e28755ac5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6e00edd-d097-4c46-a7a4-3c30001504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5a52da-888d-44f6-a876-043783891b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fbf83c1-038b-4134-8060-abdab383777c}" ma:internalName="TaxCatchAll" ma:showField="CatchAllData" ma:web="a85a52da-888d-44f6-a876-043783891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056484-224d-44b1-98a6-1e28755ac544">
      <Terms xmlns="http://schemas.microsoft.com/office/infopath/2007/PartnerControls"/>
    </lcf76f155ced4ddcb4097134ff3c332f>
    <TaxCatchAll xmlns="a85a52da-888d-44f6-a876-043783891b0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DF1938-957A-4B80-90BF-5F088B30A6C3}"/>
</file>

<file path=customXml/itemProps2.xml><?xml version="1.0" encoding="utf-8"?>
<ds:datastoreItem xmlns:ds="http://schemas.openxmlformats.org/officeDocument/2006/customXml" ds:itemID="{4F718082-0B5B-4386-86B7-BB28A6E27D02}">
  <ds:schemaRefs>
    <ds:schemaRef ds:uri="http://schemas.microsoft.com/office/2006/metadata/properties"/>
    <ds:schemaRef ds:uri="http://schemas.microsoft.com/office/infopath/2007/PartnerControls"/>
    <ds:schemaRef ds:uri="http://purl.org/dc/terms/"/>
    <ds:schemaRef ds:uri="306cb03a-0ddc-4def-9074-c629e8a46a98"/>
    <ds:schemaRef ds:uri="http://purl.org/dc/elements/1.1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www.w3.org/XML/1998/namespace"/>
    <ds:schemaRef ds:uri="7a056484-224d-44b1-98a6-1e28755ac544"/>
    <ds:schemaRef ds:uri="a85a52da-888d-44f6-a876-043783891b0c"/>
  </ds:schemaRefs>
</ds:datastoreItem>
</file>

<file path=customXml/itemProps3.xml><?xml version="1.0" encoding="utf-8"?>
<ds:datastoreItem xmlns:ds="http://schemas.openxmlformats.org/officeDocument/2006/customXml" ds:itemID="{05BDE3C1-458C-40EC-B62C-22156692B06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Datos_seleccionados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GAEL DAVID RUIZ ÑURINDA</dc:creator>
  <cp:lastModifiedBy>ANTHONY JOSUE SEGURA PANIAGUA</cp:lastModifiedBy>
  <dcterms:created xsi:type="dcterms:W3CDTF">2026-08-22T00:49:58Z</dcterms:created>
  <dcterms:modified xsi:type="dcterms:W3CDTF">2026-08-26T23:08:41Z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0x010100B280F585ACC6394D940A341890B29E43</vt:lpwstr>
  </property>
  <property fmtid="{D5CDD505-2E9C-101B-9397-08002B2CF9AE}" pid="3" name="MediaServiceImageTags">
    <vt:lpwstr/>
  </property>
</Properties>
</file>