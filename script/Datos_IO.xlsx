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estudianteccr.sharepoint.com/sites/Backup_CARRERA/Documentos compartidos/Escritorio/Colegio/Ingeniería en computación/VI Semestre/IO/"/>
    </mc:Choice>
  </mc:AlternateContent>
  <xr:revisionPtr revIDLastSave="0" documentId="8_{4096FEAA-5D1C-402F-AA8A-5EF7DFE79CDA}" xr6:coauthVersionLast="47" xr6:coauthVersionMax="47" xr10:uidLastSave="{00000000-0000-0000-0000-000000000000}"/>
  <bookViews>
    <workbookView xWindow="-108" yWindow="-108" windowWidth="23256" windowHeight="12456" xr2:uid="{A536736A-F903-4856-AEB1-45D2C416C4E0}"/>
  </bookViews>
  <sheets>
    <sheet name="Datos_seleccionados" sheetId="1" r:id="rId1"/>
  </sheets>
  <definedNames>
    <definedName name="_xlnm._FilterDatabase" localSheetId="0" hidden="1">Datos_seleccionados!$A$1:$L$84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4" i="1" l="1"/>
  <c r="J84" i="1"/>
  <c r="I84" i="1"/>
  <c r="K84" i="1" s="1"/>
  <c r="L83" i="1"/>
  <c r="J83" i="1"/>
  <c r="I83" i="1"/>
  <c r="K83" i="1" s="1"/>
  <c r="L82" i="1"/>
  <c r="J82" i="1"/>
  <c r="I82" i="1"/>
  <c r="K82" i="1" s="1"/>
  <c r="L81" i="1"/>
  <c r="J81" i="1"/>
  <c r="I81" i="1"/>
  <c r="K81" i="1" s="1"/>
  <c r="L80" i="1"/>
  <c r="J80" i="1"/>
  <c r="I80" i="1"/>
  <c r="K80" i="1" s="1"/>
  <c r="L79" i="1"/>
  <c r="J79" i="1"/>
  <c r="I79" i="1"/>
  <c r="K79" i="1" s="1"/>
  <c r="L78" i="1"/>
  <c r="J78" i="1"/>
  <c r="I78" i="1"/>
  <c r="K78" i="1" s="1"/>
  <c r="L77" i="1"/>
  <c r="J77" i="1"/>
  <c r="I77" i="1"/>
  <c r="K77" i="1" s="1"/>
  <c r="L76" i="1"/>
  <c r="J76" i="1"/>
  <c r="I76" i="1"/>
  <c r="K76" i="1" s="1"/>
  <c r="L75" i="1"/>
  <c r="J75" i="1"/>
  <c r="I75" i="1"/>
  <c r="K75" i="1" s="1"/>
  <c r="L74" i="1"/>
  <c r="J74" i="1"/>
  <c r="I74" i="1"/>
  <c r="K74" i="1" s="1"/>
  <c r="L73" i="1"/>
  <c r="J73" i="1"/>
  <c r="I73" i="1"/>
  <c r="K73" i="1" s="1"/>
  <c r="L72" i="1"/>
  <c r="J72" i="1"/>
  <c r="I72" i="1"/>
  <c r="K72" i="1" s="1"/>
  <c r="L71" i="1"/>
  <c r="J71" i="1"/>
  <c r="I71" i="1"/>
  <c r="K71" i="1" s="1"/>
  <c r="L70" i="1"/>
  <c r="J70" i="1"/>
  <c r="I70" i="1"/>
  <c r="K70" i="1" s="1"/>
  <c r="L69" i="1"/>
  <c r="J69" i="1"/>
  <c r="I69" i="1"/>
  <c r="K69" i="1" s="1"/>
  <c r="L68" i="1"/>
  <c r="J68" i="1"/>
  <c r="I68" i="1"/>
  <c r="K68" i="1" s="1"/>
  <c r="L67" i="1"/>
  <c r="J67" i="1"/>
  <c r="I67" i="1"/>
  <c r="K67" i="1" s="1"/>
  <c r="L66" i="1"/>
  <c r="J66" i="1"/>
  <c r="I66" i="1"/>
  <c r="K66" i="1" s="1"/>
  <c r="L65" i="1"/>
  <c r="J65" i="1"/>
  <c r="I65" i="1"/>
  <c r="K65" i="1" s="1"/>
  <c r="L64" i="1"/>
  <c r="J64" i="1"/>
  <c r="I64" i="1"/>
  <c r="K64" i="1" s="1"/>
  <c r="L63" i="1"/>
  <c r="J63" i="1"/>
  <c r="I63" i="1"/>
  <c r="K63" i="1" s="1"/>
  <c r="L62" i="1"/>
  <c r="J62" i="1"/>
  <c r="I62" i="1"/>
  <c r="K62" i="1" s="1"/>
  <c r="L61" i="1"/>
  <c r="J61" i="1"/>
  <c r="I61" i="1"/>
  <c r="K61" i="1" s="1"/>
  <c r="L60" i="1"/>
  <c r="J60" i="1"/>
  <c r="I60" i="1"/>
  <c r="K60" i="1" s="1"/>
  <c r="L59" i="1"/>
  <c r="J59" i="1"/>
  <c r="I59" i="1"/>
  <c r="K59" i="1" s="1"/>
  <c r="L58" i="1"/>
  <c r="J58" i="1"/>
  <c r="I58" i="1"/>
  <c r="K58" i="1" s="1"/>
  <c r="L57" i="1"/>
  <c r="J57" i="1"/>
  <c r="I57" i="1"/>
  <c r="K57" i="1" s="1"/>
  <c r="L56" i="1"/>
  <c r="J56" i="1"/>
  <c r="I56" i="1"/>
  <c r="K56" i="1" s="1"/>
  <c r="L55" i="1"/>
  <c r="J55" i="1"/>
  <c r="I55" i="1"/>
  <c r="K55" i="1" s="1"/>
  <c r="L54" i="1"/>
  <c r="J54" i="1"/>
  <c r="I54" i="1"/>
  <c r="K54" i="1" s="1"/>
  <c r="L53" i="1"/>
  <c r="J53" i="1"/>
  <c r="I53" i="1"/>
  <c r="K53" i="1" s="1"/>
  <c r="L52" i="1"/>
  <c r="J52" i="1"/>
  <c r="I52" i="1"/>
  <c r="K52" i="1" s="1"/>
  <c r="L51" i="1"/>
  <c r="J51" i="1"/>
  <c r="I51" i="1"/>
  <c r="K51" i="1" s="1"/>
  <c r="L50" i="1"/>
  <c r="J50" i="1"/>
  <c r="I50" i="1"/>
  <c r="K50" i="1" s="1"/>
  <c r="L49" i="1"/>
  <c r="J49" i="1"/>
  <c r="I49" i="1"/>
  <c r="K49" i="1" s="1"/>
  <c r="L48" i="1"/>
  <c r="J48" i="1"/>
  <c r="I48" i="1"/>
  <c r="K48" i="1" s="1"/>
  <c r="L47" i="1"/>
  <c r="J47" i="1"/>
  <c r="I47" i="1"/>
  <c r="K47" i="1" s="1"/>
  <c r="L46" i="1"/>
  <c r="J46" i="1"/>
  <c r="I46" i="1"/>
  <c r="K46" i="1" s="1"/>
  <c r="L45" i="1"/>
  <c r="J45" i="1"/>
  <c r="I45" i="1"/>
  <c r="K45" i="1" s="1"/>
  <c r="L44" i="1"/>
  <c r="J44" i="1"/>
  <c r="I44" i="1"/>
  <c r="K44" i="1" s="1"/>
  <c r="L43" i="1"/>
  <c r="J43" i="1"/>
  <c r="I43" i="1"/>
  <c r="K43" i="1" s="1"/>
  <c r="L42" i="1"/>
  <c r="J42" i="1"/>
  <c r="I42" i="1"/>
  <c r="K42" i="1" s="1"/>
  <c r="L41" i="1"/>
  <c r="J41" i="1"/>
  <c r="I41" i="1"/>
  <c r="K41" i="1" s="1"/>
  <c r="L40" i="1"/>
  <c r="J40" i="1"/>
  <c r="I40" i="1"/>
  <c r="K40" i="1" s="1"/>
  <c r="L39" i="1"/>
  <c r="J39" i="1"/>
  <c r="I39" i="1"/>
  <c r="K39" i="1" s="1"/>
  <c r="L38" i="1"/>
  <c r="J38" i="1"/>
  <c r="I38" i="1"/>
  <c r="K38" i="1" s="1"/>
  <c r="L37" i="1"/>
  <c r="J37" i="1"/>
  <c r="I37" i="1"/>
  <c r="K37" i="1" s="1"/>
  <c r="L36" i="1"/>
  <c r="J36" i="1"/>
  <c r="I36" i="1"/>
  <c r="K36" i="1" s="1"/>
  <c r="L35" i="1"/>
  <c r="J35" i="1"/>
  <c r="I35" i="1"/>
  <c r="K35" i="1" s="1"/>
  <c r="L34" i="1"/>
  <c r="J34" i="1"/>
  <c r="I34" i="1"/>
  <c r="K34" i="1" s="1"/>
  <c r="L33" i="1"/>
  <c r="J33" i="1"/>
  <c r="I33" i="1"/>
  <c r="K33" i="1" s="1"/>
  <c r="L32" i="1"/>
  <c r="J32" i="1"/>
  <c r="I32" i="1"/>
  <c r="K32" i="1" s="1"/>
  <c r="L31" i="1"/>
  <c r="J31" i="1"/>
  <c r="I31" i="1"/>
  <c r="K31" i="1" s="1"/>
  <c r="L30" i="1"/>
  <c r="J30" i="1"/>
  <c r="I30" i="1"/>
  <c r="K30" i="1" s="1"/>
  <c r="L29" i="1"/>
  <c r="J29" i="1"/>
  <c r="I29" i="1"/>
  <c r="K29" i="1" s="1"/>
  <c r="L28" i="1"/>
  <c r="J28" i="1"/>
  <c r="I28" i="1"/>
  <c r="K28" i="1" s="1"/>
  <c r="L27" i="1"/>
  <c r="J27" i="1"/>
  <c r="I27" i="1"/>
  <c r="K27" i="1" s="1"/>
  <c r="L26" i="1"/>
  <c r="J26" i="1"/>
  <c r="I26" i="1"/>
  <c r="K26" i="1" s="1"/>
  <c r="L25" i="1"/>
  <c r="J25" i="1"/>
  <c r="I25" i="1"/>
  <c r="K25" i="1" s="1"/>
  <c r="L24" i="1"/>
  <c r="J24" i="1"/>
  <c r="I24" i="1"/>
  <c r="K24" i="1" s="1"/>
  <c r="L23" i="1"/>
  <c r="J23" i="1"/>
  <c r="I23" i="1"/>
  <c r="K23" i="1" s="1"/>
  <c r="L22" i="1"/>
  <c r="J22" i="1"/>
  <c r="I22" i="1"/>
  <c r="K22" i="1" s="1"/>
  <c r="L21" i="1"/>
  <c r="J21" i="1"/>
  <c r="I21" i="1"/>
  <c r="K21" i="1" s="1"/>
  <c r="L20" i="1"/>
  <c r="J20" i="1"/>
  <c r="I20" i="1"/>
  <c r="K20" i="1" s="1"/>
  <c r="L19" i="1"/>
  <c r="J19" i="1"/>
  <c r="I19" i="1"/>
  <c r="K19" i="1" s="1"/>
  <c r="L18" i="1"/>
  <c r="J18" i="1"/>
  <c r="I18" i="1"/>
  <c r="K18" i="1" s="1"/>
  <c r="L17" i="1"/>
  <c r="J17" i="1"/>
  <c r="I17" i="1"/>
  <c r="K17" i="1" s="1"/>
  <c r="L16" i="1"/>
  <c r="J16" i="1"/>
  <c r="I16" i="1"/>
  <c r="K16" i="1" s="1"/>
  <c r="L15" i="1"/>
  <c r="J15" i="1"/>
  <c r="I15" i="1"/>
  <c r="K15" i="1" s="1"/>
  <c r="L14" i="1"/>
  <c r="J14" i="1"/>
  <c r="I14" i="1"/>
  <c r="K14" i="1" s="1"/>
  <c r="L13" i="1"/>
  <c r="J13" i="1"/>
  <c r="I13" i="1"/>
  <c r="K13" i="1" s="1"/>
  <c r="L12" i="1"/>
  <c r="J12" i="1"/>
  <c r="I12" i="1"/>
  <c r="K12" i="1" s="1"/>
  <c r="L11" i="1"/>
  <c r="J11" i="1"/>
  <c r="I11" i="1"/>
  <c r="K11" i="1" s="1"/>
  <c r="L10" i="1"/>
  <c r="J10" i="1"/>
  <c r="I10" i="1"/>
  <c r="K10" i="1" s="1"/>
  <c r="L9" i="1"/>
  <c r="J9" i="1"/>
  <c r="I9" i="1"/>
  <c r="K9" i="1" s="1"/>
  <c r="L8" i="1"/>
  <c r="J8" i="1"/>
  <c r="I8" i="1"/>
  <c r="K8" i="1" s="1"/>
  <c r="L7" i="1"/>
  <c r="J7" i="1"/>
  <c r="I7" i="1"/>
  <c r="K7" i="1" s="1"/>
  <c r="L6" i="1"/>
  <c r="J6" i="1"/>
  <c r="I6" i="1"/>
  <c r="K6" i="1" s="1"/>
  <c r="L5" i="1"/>
  <c r="J5" i="1"/>
  <c r="I5" i="1"/>
  <c r="K5" i="1" s="1"/>
  <c r="L4" i="1"/>
  <c r="J4" i="1"/>
  <c r="I4" i="1"/>
  <c r="K4" i="1" s="1"/>
  <c r="L3" i="1"/>
  <c r="J3" i="1"/>
  <c r="I3" i="1"/>
  <c r="K3" i="1" s="1"/>
  <c r="L2" i="1"/>
  <c r="J2" i="1"/>
  <c r="I2" i="1"/>
  <c r="K2" i="1" s="1"/>
</calcChain>
</file>

<file path=xl/sharedStrings.xml><?xml version="1.0" encoding="utf-8"?>
<sst xmlns="http://schemas.openxmlformats.org/spreadsheetml/2006/main" count="178" uniqueCount="31">
  <si>
    <t>id_observacion</t>
  </si>
  <si>
    <t>fecha</t>
  </si>
  <si>
    <t>hora_llegada</t>
  </si>
  <si>
    <t>hora_inicio_servicio</t>
  </si>
  <si>
    <t>hora_fin_servicio</t>
  </si>
  <si>
    <t>intervalo_observacion</t>
  </si>
  <si>
    <t>numero_llegadas_intervalo</t>
  </si>
  <si>
    <t>servidor</t>
  </si>
  <si>
    <t>tiempo_espera (minutos)</t>
  </si>
  <si>
    <t>tiempo_servicio (minutos)</t>
  </si>
  <si>
    <t>tiempo_sistema (minutos)</t>
  </si>
  <si>
    <t>interarribo (minutos)</t>
  </si>
  <si>
    <t>12:10:00 - 12:20:00</t>
  </si>
  <si>
    <t>Caja automática 1</t>
  </si>
  <si>
    <t>12:20:00 - 12:30:00</t>
  </si>
  <si>
    <t>12:30:00 - 12:40:00</t>
  </si>
  <si>
    <t>12:40:00 - 12:50:00</t>
  </si>
  <si>
    <t>12:50:00 - 13:00:00</t>
  </si>
  <si>
    <t>13:10:00 - 13:20:00</t>
  </si>
  <si>
    <t>13:20:00 - 13:30:00</t>
  </si>
  <si>
    <t>13:30:00 - 13:40:00</t>
  </si>
  <si>
    <t>12:07:00 - 12:17:00</t>
  </si>
  <si>
    <t>12:17:00 - 12:27:00</t>
  </si>
  <si>
    <t>12:27:00 - 12:37:00</t>
  </si>
  <si>
    <t>12:37:00 - 12:47:00</t>
  </si>
  <si>
    <t>12:47:00 - 12:57:00</t>
  </si>
  <si>
    <t>12:57:00 - 13:07:00</t>
  </si>
  <si>
    <t>13:07:00 - 13:17:00</t>
  </si>
  <si>
    <t>13:17:00 - 13:27:00</t>
  </si>
  <si>
    <t>13:27:00 - 13:37:00</t>
  </si>
  <si>
    <t>13:37:00 - 13:47:00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</si>
</sst>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1" xfId="0" applyFont="1" applyBorder="1" applyAlignment="1">
      <alignment horizontal="center"/>
    </xf>
    <xf numFmtId="2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B6B55-BAF3-4830-9BCC-77432656DB6A}">
  <dimension ref="A1:L84"/>
  <sheetViews>
    <sheetView tabSelected="1" topLeftCell="F1" workbookViewId="0">
      <pane ySplit="1" topLeftCell="A2" activePane="bottomLeft" state="frozen"/>
      <selection pane="bottomLeft" activeCell="K10" sqref="K10"/>
    </sheetView>
  </sheetViews>
  <sheetFormatPr baseColWidth="10" defaultColWidth="8.88671875" defaultRowHeight="14.4" x14ac:dyDescent="0.3"/>
  <cols>
    <col min="1" max="1" width="16" customWidth="1"/>
    <col min="2" max="2" width="12" customWidth="1"/>
    <col min="3" max="5" width="28" customWidth="1"/>
    <col min="6" max="6" width="23" customWidth="1"/>
    <col min="7" max="7" width="27" customWidth="1"/>
    <col min="8" max="8" width="19" customWidth="1"/>
    <col min="9" max="9" width="26.88671875" style="7" bestFit="1" customWidth="1"/>
    <col min="10" max="10" width="27.6640625" style="7" bestFit="1" customWidth="1"/>
    <col min="11" max="11" width="27.6640625" bestFit="1" customWidth="1"/>
    <col min="12" max="12" width="20.8867187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3" t="s">
        <v>10</v>
      </c>
      <c r="L1" s="4" t="s">
        <v>11</v>
      </c>
    </row>
    <row r="2" spans="1:12" x14ac:dyDescent="0.3">
      <c r="A2">
        <v>1</v>
      </c>
      <c r="B2" s="5">
        <v>46256</v>
      </c>
      <c r="C2" s="6">
        <v>46256.507382313473</v>
      </c>
      <c r="D2" s="6">
        <v>46256.507382313473</v>
      </c>
      <c r="E2" s="6">
        <v>46256.50876688258</v>
      </c>
      <c r="F2" t="s">
        <v>12</v>
      </c>
      <c r="G2">
        <v>6</v>
      </c>
      <c r="H2" t="s">
        <v>13</v>
      </c>
      <c r="I2" s="7">
        <f>(D2-C2)*1440</f>
        <v>0</v>
      </c>
      <c r="J2" s="7">
        <f>(E2-D2)*1440</f>
        <v>1.9937795132864267</v>
      </c>
      <c r="K2" s="7">
        <f>I2+J2</f>
        <v>1.9937795132864267</v>
      </c>
      <c r="L2">
        <f>IF(B2=B3,ROUND((C3-C2)*1440,2),"")</f>
        <v>3.6</v>
      </c>
    </row>
    <row r="3" spans="1:12" x14ac:dyDescent="0.3">
      <c r="A3">
        <v>2</v>
      </c>
      <c r="B3" s="5">
        <v>46256</v>
      </c>
      <c r="C3" s="6">
        <v>46256.509880083322</v>
      </c>
      <c r="D3" s="6">
        <v>46256.509880083322</v>
      </c>
      <c r="E3" s="6">
        <v>46256.51169361049</v>
      </c>
      <c r="F3" t="s">
        <v>12</v>
      </c>
      <c r="G3">
        <v>6</v>
      </c>
      <c r="H3" t="s">
        <v>13</v>
      </c>
      <c r="I3" s="7">
        <f t="shared" ref="I3:J66" si="0">(D3-C3)*1440</f>
        <v>0</v>
      </c>
      <c r="J3" s="7">
        <f t="shared" si="0"/>
        <v>2.611479121260345</v>
      </c>
      <c r="K3" s="7">
        <f t="shared" ref="K3:K66" si="1">I3+J3</f>
        <v>2.611479121260345</v>
      </c>
      <c r="L3">
        <f t="shared" ref="L3:L66" si="2">IF(B3=B4,ROUND((C4-C3)*1440,2),"")</f>
        <v>1.8</v>
      </c>
    </row>
    <row r="4" spans="1:12" x14ac:dyDescent="0.3">
      <c r="A4">
        <v>3</v>
      </c>
      <c r="B4" s="5">
        <v>46256</v>
      </c>
      <c r="C4" s="6">
        <v>46256.511128217069</v>
      </c>
      <c r="D4" s="6">
        <v>46256.51169361049</v>
      </c>
      <c r="E4" s="6">
        <v>46256.512129834548</v>
      </c>
      <c r="F4" t="s">
        <v>12</v>
      </c>
      <c r="G4">
        <v>6</v>
      </c>
      <c r="H4" t="s">
        <v>13</v>
      </c>
      <c r="I4" s="7">
        <f t="shared" si="0"/>
        <v>0.81416652537882328</v>
      </c>
      <c r="J4" s="7">
        <f t="shared" si="0"/>
        <v>0.62816264340654016</v>
      </c>
      <c r="K4" s="7">
        <f t="shared" si="1"/>
        <v>1.4423291687853634</v>
      </c>
      <c r="L4">
        <f t="shared" si="2"/>
        <v>1.24</v>
      </c>
    </row>
    <row r="5" spans="1:12" x14ac:dyDescent="0.3">
      <c r="A5">
        <v>4</v>
      </c>
      <c r="B5" s="5">
        <v>46256</v>
      </c>
      <c r="C5" s="6">
        <v>46256.511990707593</v>
      </c>
      <c r="D5" s="6">
        <v>46256.512129834548</v>
      </c>
      <c r="E5" s="6">
        <v>46256.513547588678</v>
      </c>
      <c r="F5" t="s">
        <v>12</v>
      </c>
      <c r="G5">
        <v>6</v>
      </c>
      <c r="H5" t="s">
        <v>13</v>
      </c>
      <c r="I5" s="7">
        <f t="shared" si="0"/>
        <v>0.20034281420521438</v>
      </c>
      <c r="J5" s="7">
        <f t="shared" si="0"/>
        <v>2.0415659481659532</v>
      </c>
      <c r="K5" s="7">
        <f t="shared" si="1"/>
        <v>2.2419087623711675</v>
      </c>
      <c r="L5">
        <f t="shared" si="2"/>
        <v>0.43</v>
      </c>
    </row>
    <row r="6" spans="1:12" x14ac:dyDescent="0.3">
      <c r="A6">
        <v>5</v>
      </c>
      <c r="B6" s="5">
        <v>46256</v>
      </c>
      <c r="C6" s="6">
        <v>46256.512291196203</v>
      </c>
      <c r="D6" s="6">
        <v>46256.513547588678</v>
      </c>
      <c r="E6" s="6">
        <v>46256.514039597103</v>
      </c>
      <c r="F6" t="s">
        <v>12</v>
      </c>
      <c r="G6">
        <v>6</v>
      </c>
      <c r="H6" t="s">
        <v>13</v>
      </c>
      <c r="I6" s="7">
        <f t="shared" si="0"/>
        <v>1.8092051649000496</v>
      </c>
      <c r="J6" s="7">
        <f t="shared" si="0"/>
        <v>0.70849213167093694</v>
      </c>
      <c r="K6" s="7">
        <f t="shared" si="1"/>
        <v>2.5176972965709865</v>
      </c>
      <c r="L6">
        <f t="shared" si="2"/>
        <v>0.83</v>
      </c>
    </row>
    <row r="7" spans="1:12" x14ac:dyDescent="0.3">
      <c r="A7">
        <v>6</v>
      </c>
      <c r="B7" s="5">
        <v>46256</v>
      </c>
      <c r="C7" s="6">
        <v>46256.512868872538</v>
      </c>
      <c r="D7" s="6">
        <v>46256.514039597103</v>
      </c>
      <c r="E7" s="6">
        <v>46256.516288478553</v>
      </c>
      <c r="F7" t="s">
        <v>12</v>
      </c>
      <c r="G7">
        <v>6</v>
      </c>
      <c r="H7" t="s">
        <v>13</v>
      </c>
      <c r="I7" s="7">
        <f t="shared" si="0"/>
        <v>1.6858433734159917</v>
      </c>
      <c r="J7" s="7">
        <f t="shared" si="0"/>
        <v>3.2383892883080989</v>
      </c>
      <c r="K7" s="7">
        <f t="shared" si="1"/>
        <v>4.9242326617240906</v>
      </c>
      <c r="L7">
        <f t="shared" si="2"/>
        <v>2.21</v>
      </c>
    </row>
    <row r="8" spans="1:12" x14ac:dyDescent="0.3">
      <c r="A8">
        <v>7</v>
      </c>
      <c r="B8" s="5">
        <v>46256</v>
      </c>
      <c r="C8" s="6">
        <v>46256.514405402559</v>
      </c>
      <c r="D8" s="6">
        <v>46256.516288478553</v>
      </c>
      <c r="E8" s="6">
        <v>46256.518944083749</v>
      </c>
      <c r="F8" t="s">
        <v>14</v>
      </c>
      <c r="G8">
        <v>2</v>
      </c>
      <c r="H8" t="s">
        <v>13</v>
      </c>
      <c r="I8" s="7">
        <f t="shared" si="0"/>
        <v>2.7116294321604073</v>
      </c>
      <c r="J8" s="7">
        <f t="shared" si="0"/>
        <v>3.8240714825224131</v>
      </c>
      <c r="K8" s="7">
        <f t="shared" si="1"/>
        <v>6.5357009146828204</v>
      </c>
      <c r="L8">
        <f t="shared" si="2"/>
        <v>4.0999999999999996</v>
      </c>
    </row>
    <row r="9" spans="1:12" x14ac:dyDescent="0.3">
      <c r="A9">
        <v>8</v>
      </c>
      <c r="B9" s="5">
        <v>46256</v>
      </c>
      <c r="C9" s="6">
        <v>46256.517252787133</v>
      </c>
      <c r="D9" s="6">
        <v>46256.518944083749</v>
      </c>
      <c r="E9" s="6">
        <v>46256.519989495799</v>
      </c>
      <c r="F9" t="s">
        <v>14</v>
      </c>
      <c r="G9">
        <v>2</v>
      </c>
      <c r="H9" t="s">
        <v>13</v>
      </c>
      <c r="I9" s="7">
        <f t="shared" si="0"/>
        <v>2.4354671279434115</v>
      </c>
      <c r="J9" s="7">
        <f t="shared" si="0"/>
        <v>1.5053933509625494</v>
      </c>
      <c r="K9" s="7">
        <f t="shared" si="1"/>
        <v>3.9408604789059609</v>
      </c>
      <c r="L9">
        <f t="shared" si="2"/>
        <v>6.24</v>
      </c>
    </row>
    <row r="10" spans="1:12" x14ac:dyDescent="0.3">
      <c r="A10">
        <v>9</v>
      </c>
      <c r="B10" s="5">
        <v>46256</v>
      </c>
      <c r="C10" s="6">
        <v>46256.521583542417</v>
      </c>
      <c r="D10" s="6">
        <v>46256.521583542417</v>
      </c>
      <c r="E10" s="6">
        <v>46256.521747583203</v>
      </c>
      <c r="F10" t="s">
        <v>15</v>
      </c>
      <c r="G10">
        <v>5</v>
      </c>
      <c r="H10" t="s">
        <v>13</v>
      </c>
      <c r="I10" s="7">
        <f t="shared" si="0"/>
        <v>0</v>
      </c>
      <c r="J10" s="7">
        <f t="shared" si="0"/>
        <v>0.23621873231604695</v>
      </c>
      <c r="K10" s="7">
        <f t="shared" si="1"/>
        <v>0.23621873231604695</v>
      </c>
      <c r="L10">
        <f t="shared" si="2"/>
        <v>1.35</v>
      </c>
    </row>
    <row r="11" spans="1:12" x14ac:dyDescent="0.3">
      <c r="A11">
        <v>10</v>
      </c>
      <c r="B11" s="5">
        <v>46256</v>
      </c>
      <c r="C11" s="6">
        <v>46256.522522660161</v>
      </c>
      <c r="D11" s="6">
        <v>46256.522522660161</v>
      </c>
      <c r="E11" s="6">
        <v>46256.522732927457</v>
      </c>
      <c r="F11" t="s">
        <v>15</v>
      </c>
      <c r="G11">
        <v>5</v>
      </c>
      <c r="H11" t="s">
        <v>13</v>
      </c>
      <c r="I11" s="7">
        <f t="shared" si="0"/>
        <v>0</v>
      </c>
      <c r="J11" s="7">
        <f t="shared" si="0"/>
        <v>0.30278490507043898</v>
      </c>
      <c r="K11" s="7">
        <f t="shared" si="1"/>
        <v>0.30278490507043898</v>
      </c>
      <c r="L11">
        <f t="shared" si="2"/>
        <v>0.16</v>
      </c>
    </row>
    <row r="12" spans="1:12" x14ac:dyDescent="0.3">
      <c r="A12">
        <v>11</v>
      </c>
      <c r="B12" s="5">
        <v>46256</v>
      </c>
      <c r="C12" s="6">
        <v>46256.522634635097</v>
      </c>
      <c r="D12" s="6">
        <v>46256.522732927457</v>
      </c>
      <c r="E12" s="6">
        <v>46256.527623293383</v>
      </c>
      <c r="F12" t="s">
        <v>15</v>
      </c>
      <c r="G12">
        <v>5</v>
      </c>
      <c r="H12" t="s">
        <v>13</v>
      </c>
      <c r="I12" s="7">
        <f t="shared" si="0"/>
        <v>0.14154099742881954</v>
      </c>
      <c r="J12" s="7">
        <f t="shared" si="0"/>
        <v>7.0421269338112324</v>
      </c>
      <c r="K12" s="7">
        <f t="shared" si="1"/>
        <v>7.183667931240052</v>
      </c>
      <c r="L12">
        <f t="shared" si="2"/>
        <v>4.67</v>
      </c>
    </row>
    <row r="13" spans="1:12" x14ac:dyDescent="0.3">
      <c r="A13">
        <v>12</v>
      </c>
      <c r="B13" s="5">
        <v>46256</v>
      </c>
      <c r="C13" s="6">
        <v>46256.525880436653</v>
      </c>
      <c r="D13" s="6">
        <v>46256.527623293383</v>
      </c>
      <c r="E13" s="6">
        <v>46256.528304762163</v>
      </c>
      <c r="F13" t="s">
        <v>15</v>
      </c>
      <c r="G13">
        <v>5</v>
      </c>
      <c r="H13" t="s">
        <v>13</v>
      </c>
      <c r="I13" s="7">
        <f t="shared" si="0"/>
        <v>2.5097136909607798</v>
      </c>
      <c r="J13" s="7">
        <f t="shared" si="0"/>
        <v>0.98131504375487566</v>
      </c>
      <c r="K13" s="7">
        <f t="shared" si="1"/>
        <v>3.4910287347156554</v>
      </c>
      <c r="L13">
        <f t="shared" si="2"/>
        <v>0.16</v>
      </c>
    </row>
    <row r="14" spans="1:12" x14ac:dyDescent="0.3">
      <c r="A14">
        <v>13</v>
      </c>
      <c r="B14" s="5">
        <v>46256</v>
      </c>
      <c r="C14" s="6">
        <v>46256.525990585949</v>
      </c>
      <c r="D14" s="6">
        <v>46256.528304762163</v>
      </c>
      <c r="E14" s="6">
        <v>46256.529094226353</v>
      </c>
      <c r="F14" t="s">
        <v>15</v>
      </c>
      <c r="G14">
        <v>5</v>
      </c>
      <c r="H14" t="s">
        <v>13</v>
      </c>
      <c r="I14" s="7">
        <f t="shared" si="0"/>
        <v>3.3324137481395155</v>
      </c>
      <c r="J14" s="7">
        <f t="shared" si="0"/>
        <v>1.136828432790935</v>
      </c>
      <c r="K14" s="7">
        <f t="shared" si="1"/>
        <v>4.4692421809304506</v>
      </c>
      <c r="L14">
        <f t="shared" si="2"/>
        <v>3.15</v>
      </c>
    </row>
    <row r="15" spans="1:12" x14ac:dyDescent="0.3">
      <c r="A15">
        <v>14</v>
      </c>
      <c r="B15" s="5">
        <v>46256</v>
      </c>
      <c r="C15" s="6">
        <v>46256.528176282423</v>
      </c>
      <c r="D15" s="6">
        <v>46256.529094226353</v>
      </c>
      <c r="E15" s="6">
        <v>46256.53196959963</v>
      </c>
      <c r="F15" t="s">
        <v>16</v>
      </c>
      <c r="G15">
        <v>3</v>
      </c>
      <c r="H15" t="s">
        <v>13</v>
      </c>
      <c r="I15" s="7">
        <f t="shared" si="0"/>
        <v>1.3218392583075911</v>
      </c>
      <c r="J15" s="7">
        <f t="shared" si="0"/>
        <v>4.1405375185422599</v>
      </c>
      <c r="K15" s="7">
        <f t="shared" si="1"/>
        <v>5.462376776849851</v>
      </c>
      <c r="L15">
        <f t="shared" si="2"/>
        <v>0.43</v>
      </c>
    </row>
    <row r="16" spans="1:12" x14ac:dyDescent="0.3">
      <c r="A16">
        <v>15</v>
      </c>
      <c r="B16" s="5">
        <v>46256</v>
      </c>
      <c r="C16" s="6">
        <v>46256.528475787163</v>
      </c>
      <c r="D16" s="6">
        <v>46256.53196959963</v>
      </c>
      <c r="E16" s="6">
        <v>46256.532932793401</v>
      </c>
      <c r="F16" t="s">
        <v>16</v>
      </c>
      <c r="G16">
        <v>3</v>
      </c>
      <c r="H16" t="s">
        <v>13</v>
      </c>
      <c r="I16" s="7">
        <f t="shared" si="0"/>
        <v>5.0310899515170604</v>
      </c>
      <c r="J16" s="7">
        <f t="shared" si="0"/>
        <v>1.3869990315288305</v>
      </c>
      <c r="K16" s="7">
        <f t="shared" si="1"/>
        <v>6.4180889830458909</v>
      </c>
      <c r="L16">
        <f t="shared" si="2"/>
        <v>2.91</v>
      </c>
    </row>
    <row r="17" spans="1:12" x14ac:dyDescent="0.3">
      <c r="A17">
        <v>16</v>
      </c>
      <c r="B17" s="5">
        <v>46256</v>
      </c>
      <c r="C17" s="6">
        <v>46256.530499542729</v>
      </c>
      <c r="D17" s="6">
        <v>46256.532932793401</v>
      </c>
      <c r="E17" s="6">
        <v>46256.534113335729</v>
      </c>
      <c r="F17" t="s">
        <v>16</v>
      </c>
      <c r="G17">
        <v>3</v>
      </c>
      <c r="H17" t="s">
        <v>13</v>
      </c>
      <c r="I17" s="7">
        <f t="shared" si="0"/>
        <v>3.5038809687830508</v>
      </c>
      <c r="J17" s="7">
        <f t="shared" si="0"/>
        <v>1.6999809513799846</v>
      </c>
      <c r="K17" s="7">
        <f t="shared" si="1"/>
        <v>5.2038619201630354</v>
      </c>
      <c r="L17">
        <f t="shared" si="2"/>
        <v>8.43</v>
      </c>
    </row>
    <row r="18" spans="1:12" x14ac:dyDescent="0.3">
      <c r="A18">
        <v>17</v>
      </c>
      <c r="B18" s="5">
        <v>46256</v>
      </c>
      <c r="C18" s="6">
        <v>46256.536353721043</v>
      </c>
      <c r="D18" s="6">
        <v>46256.536353721043</v>
      </c>
      <c r="E18" s="6">
        <v>46256.537430845987</v>
      </c>
      <c r="F18" t="s">
        <v>17</v>
      </c>
      <c r="G18">
        <v>5</v>
      </c>
      <c r="H18" t="s">
        <v>13</v>
      </c>
      <c r="I18" s="7">
        <f t="shared" si="0"/>
        <v>0</v>
      </c>
      <c r="J18" s="7">
        <f t="shared" si="0"/>
        <v>1.5510599187109619</v>
      </c>
      <c r="K18" s="7">
        <f t="shared" si="1"/>
        <v>1.5510599187109619</v>
      </c>
      <c r="L18">
        <f t="shared" si="2"/>
        <v>0.38</v>
      </c>
    </row>
    <row r="19" spans="1:12" x14ac:dyDescent="0.3">
      <c r="A19">
        <v>18</v>
      </c>
      <c r="B19" s="5">
        <v>46256</v>
      </c>
      <c r="C19" s="6">
        <v>46256.536615906472</v>
      </c>
      <c r="D19" s="6">
        <v>46256.537430845987</v>
      </c>
      <c r="E19" s="6">
        <v>46256.539997804997</v>
      </c>
      <c r="F19" t="s">
        <v>17</v>
      </c>
      <c r="G19">
        <v>5</v>
      </c>
      <c r="H19" t="s">
        <v>13</v>
      </c>
      <c r="I19" s="7">
        <f t="shared" si="0"/>
        <v>1.1735129007138312</v>
      </c>
      <c r="J19" s="7">
        <f t="shared" si="0"/>
        <v>3.6964209750294685</v>
      </c>
      <c r="K19" s="7">
        <f t="shared" si="1"/>
        <v>4.8699338757432997</v>
      </c>
      <c r="L19">
        <f t="shared" si="2"/>
        <v>2.25</v>
      </c>
    </row>
    <row r="20" spans="1:12" x14ac:dyDescent="0.3">
      <c r="A20">
        <v>19</v>
      </c>
      <c r="B20" s="5">
        <v>46256</v>
      </c>
      <c r="C20" s="6">
        <v>46256.53817659388</v>
      </c>
      <c r="D20" s="6">
        <v>46256.539997804997</v>
      </c>
      <c r="E20" s="6">
        <v>46256.540176067741</v>
      </c>
      <c r="F20" t="s">
        <v>17</v>
      </c>
      <c r="G20">
        <v>5</v>
      </c>
      <c r="H20" t="s">
        <v>13</v>
      </c>
      <c r="I20" s="7">
        <f t="shared" si="0"/>
        <v>2.6225440087728202</v>
      </c>
      <c r="J20" s="7">
        <f t="shared" si="0"/>
        <v>0.25669835158623755</v>
      </c>
      <c r="K20" s="7">
        <f t="shared" si="1"/>
        <v>2.8792423603590578</v>
      </c>
      <c r="L20">
        <f t="shared" si="2"/>
        <v>0.84</v>
      </c>
    </row>
    <row r="21" spans="1:12" x14ac:dyDescent="0.3">
      <c r="A21">
        <v>20</v>
      </c>
      <c r="B21" s="5">
        <v>46256</v>
      </c>
      <c r="C21" s="6">
        <v>46256.538761574076</v>
      </c>
      <c r="D21" s="6">
        <v>46256.540176067741</v>
      </c>
      <c r="E21" s="6">
        <v>46256.540698417302</v>
      </c>
      <c r="F21" t="s">
        <v>17</v>
      </c>
      <c r="G21">
        <v>5</v>
      </c>
      <c r="H21" t="s">
        <v>13</v>
      </c>
      <c r="I21" s="7">
        <f t="shared" si="0"/>
        <v>2.0368708774913102</v>
      </c>
      <c r="J21" s="7">
        <f t="shared" si="0"/>
        <v>0.75218336773104966</v>
      </c>
      <c r="K21" s="7">
        <f t="shared" si="1"/>
        <v>2.7890542452223599</v>
      </c>
      <c r="L21">
        <f t="shared" si="2"/>
        <v>0.8</v>
      </c>
    </row>
    <row r="22" spans="1:12" x14ac:dyDescent="0.3">
      <c r="A22">
        <v>21</v>
      </c>
      <c r="B22" s="5">
        <v>46256</v>
      </c>
      <c r="C22" s="6">
        <v>46256.539316936971</v>
      </c>
      <c r="D22" s="6">
        <v>46256.540698417302</v>
      </c>
      <c r="E22" s="6">
        <v>46256.544304526702</v>
      </c>
      <c r="F22" t="s">
        <v>17</v>
      </c>
      <c r="G22">
        <v>5</v>
      </c>
      <c r="H22" t="s">
        <v>13</v>
      </c>
      <c r="I22" s="7">
        <f t="shared" si="0"/>
        <v>1.9893316773232073</v>
      </c>
      <c r="J22" s="7">
        <f t="shared" si="0"/>
        <v>5.1927975355647504</v>
      </c>
      <c r="K22" s="7">
        <f t="shared" si="1"/>
        <v>7.1821292128879577</v>
      </c>
      <c r="L22">
        <f t="shared" si="2"/>
        <v>16.23</v>
      </c>
    </row>
    <row r="23" spans="1:12" x14ac:dyDescent="0.3">
      <c r="A23">
        <v>22</v>
      </c>
      <c r="B23" s="5">
        <v>46256</v>
      </c>
      <c r="C23" s="6">
        <v>46256.550585298217</v>
      </c>
      <c r="D23" s="6">
        <v>46256.550585298217</v>
      </c>
      <c r="E23" s="6">
        <v>46256.551945152743</v>
      </c>
      <c r="F23" t="s">
        <v>18</v>
      </c>
      <c r="G23">
        <v>6</v>
      </c>
      <c r="H23" t="s">
        <v>13</v>
      </c>
      <c r="I23" s="7">
        <f t="shared" si="0"/>
        <v>0</v>
      </c>
      <c r="J23" s="7">
        <f t="shared" si="0"/>
        <v>1.9581905181985348</v>
      </c>
      <c r="K23" s="7">
        <f t="shared" si="1"/>
        <v>1.9581905181985348</v>
      </c>
      <c r="L23">
        <f t="shared" si="2"/>
        <v>0.17</v>
      </c>
    </row>
    <row r="24" spans="1:12" x14ac:dyDescent="0.3">
      <c r="A24">
        <v>23</v>
      </c>
      <c r="B24" s="5">
        <v>46256</v>
      </c>
      <c r="C24" s="6">
        <v>46256.550701045599</v>
      </c>
      <c r="D24" s="6">
        <v>46256.551945152743</v>
      </c>
      <c r="E24" s="6">
        <v>46256.553604297253</v>
      </c>
      <c r="F24" t="s">
        <v>18</v>
      </c>
      <c r="G24">
        <v>6</v>
      </c>
      <c r="H24" t="s">
        <v>13</v>
      </c>
      <c r="I24" s="7">
        <f t="shared" si="0"/>
        <v>1.7915142886340618</v>
      </c>
      <c r="J24" s="7">
        <f t="shared" si="0"/>
        <v>2.3891680932138115</v>
      </c>
      <c r="K24" s="7">
        <f t="shared" si="1"/>
        <v>4.1806823818478733</v>
      </c>
      <c r="L24">
        <f t="shared" si="2"/>
        <v>0.34</v>
      </c>
    </row>
    <row r="25" spans="1:12" x14ac:dyDescent="0.3">
      <c r="A25">
        <v>24</v>
      </c>
      <c r="B25" s="5">
        <v>46256</v>
      </c>
      <c r="C25" s="6">
        <v>46256.550937124732</v>
      </c>
      <c r="D25" s="6">
        <v>46256.553604297253</v>
      </c>
      <c r="E25" s="6">
        <v>46256.560301242862</v>
      </c>
      <c r="F25" t="s">
        <v>18</v>
      </c>
      <c r="G25">
        <v>6</v>
      </c>
      <c r="H25" t="s">
        <v>13</v>
      </c>
      <c r="I25" s="7">
        <f t="shared" si="0"/>
        <v>3.8407284300774336</v>
      </c>
      <c r="J25" s="7">
        <f t="shared" si="0"/>
        <v>9.6436016773805022</v>
      </c>
      <c r="K25" s="7">
        <f t="shared" si="1"/>
        <v>13.484330107457936</v>
      </c>
      <c r="L25">
        <f t="shared" si="2"/>
        <v>1.3</v>
      </c>
    </row>
    <row r="26" spans="1:12" x14ac:dyDescent="0.3">
      <c r="A26">
        <v>25</v>
      </c>
      <c r="B26" s="5">
        <v>46256</v>
      </c>
      <c r="C26" s="6">
        <v>46256.551839100808</v>
      </c>
      <c r="D26" s="6">
        <v>46256.560301242862</v>
      </c>
      <c r="E26" s="6">
        <v>46256.561864791976</v>
      </c>
      <c r="F26" t="s">
        <v>18</v>
      </c>
      <c r="G26">
        <v>6</v>
      </c>
      <c r="H26" t="s">
        <v>13</v>
      </c>
      <c r="I26" s="7">
        <f t="shared" si="0"/>
        <v>12.185484557412565</v>
      </c>
      <c r="J26" s="7">
        <f t="shared" si="0"/>
        <v>2.2515107248909771</v>
      </c>
      <c r="K26" s="7">
        <f t="shared" si="1"/>
        <v>14.436995282303542</v>
      </c>
      <c r="L26">
        <f t="shared" si="2"/>
        <v>2.4300000000000002</v>
      </c>
    </row>
    <row r="27" spans="1:12" x14ac:dyDescent="0.3">
      <c r="A27">
        <v>26</v>
      </c>
      <c r="B27" s="5">
        <v>46256</v>
      </c>
      <c r="C27" s="6">
        <v>46256.553526154443</v>
      </c>
      <c r="D27" s="6">
        <v>46256.561864791976</v>
      </c>
      <c r="E27" s="6">
        <v>46256.561982917883</v>
      </c>
      <c r="F27" t="s">
        <v>18</v>
      </c>
      <c r="G27">
        <v>6</v>
      </c>
      <c r="H27" t="s">
        <v>13</v>
      </c>
      <c r="I27" s="7">
        <f t="shared" si="0"/>
        <v>12.007638048380613</v>
      </c>
      <c r="J27" s="7">
        <f t="shared" si="0"/>
        <v>0.17010130570270121</v>
      </c>
      <c r="K27" s="7">
        <f t="shared" si="1"/>
        <v>12.177739354083315</v>
      </c>
      <c r="L27">
        <f t="shared" si="2"/>
        <v>0.33</v>
      </c>
    </row>
    <row r="28" spans="1:12" x14ac:dyDescent="0.3">
      <c r="A28">
        <v>27</v>
      </c>
      <c r="B28" s="5">
        <v>46256</v>
      </c>
      <c r="C28" s="6">
        <v>46256.553756576213</v>
      </c>
      <c r="D28" s="6">
        <v>46256.561982917883</v>
      </c>
      <c r="E28" s="6">
        <v>46256.564021207123</v>
      </c>
      <c r="F28" t="s">
        <v>18</v>
      </c>
      <c r="G28">
        <v>6</v>
      </c>
      <c r="H28" t="s">
        <v>13</v>
      </c>
      <c r="I28" s="7">
        <f t="shared" si="0"/>
        <v>11.845932004507631</v>
      </c>
      <c r="J28" s="7">
        <f t="shared" si="0"/>
        <v>2.9351365054026246</v>
      </c>
      <c r="K28" s="7">
        <f t="shared" si="1"/>
        <v>14.781068509910256</v>
      </c>
      <c r="L28">
        <f t="shared" si="2"/>
        <v>2.61</v>
      </c>
    </row>
    <row r="29" spans="1:12" x14ac:dyDescent="0.3">
      <c r="A29">
        <v>28</v>
      </c>
      <c r="B29" s="5">
        <v>46256</v>
      </c>
      <c r="C29" s="6">
        <v>46256.555567426723</v>
      </c>
      <c r="D29" s="6">
        <v>46256.564021207123</v>
      </c>
      <c r="E29" s="6">
        <v>46256.564121878517</v>
      </c>
      <c r="F29" t="s">
        <v>19</v>
      </c>
      <c r="G29">
        <v>2</v>
      </c>
      <c r="H29" t="s">
        <v>13</v>
      </c>
      <c r="I29" s="7">
        <f t="shared" si="0"/>
        <v>12.173443775391206</v>
      </c>
      <c r="J29" s="7">
        <f t="shared" si="0"/>
        <v>0.14496680698357522</v>
      </c>
      <c r="K29" s="7">
        <f t="shared" si="1"/>
        <v>12.318410582374781</v>
      </c>
      <c r="L29">
        <f t="shared" si="2"/>
        <v>2.19</v>
      </c>
    </row>
    <row r="30" spans="1:12" x14ac:dyDescent="0.3">
      <c r="A30">
        <v>29</v>
      </c>
      <c r="B30" s="5">
        <v>46256</v>
      </c>
      <c r="C30" s="6">
        <v>46256.557087803303</v>
      </c>
      <c r="D30" s="6">
        <v>46256.564121878517</v>
      </c>
      <c r="E30" s="6">
        <v>46256.564397790513</v>
      </c>
      <c r="F30" t="s">
        <v>19</v>
      </c>
      <c r="G30">
        <v>2</v>
      </c>
      <c r="H30" t="s">
        <v>13</v>
      </c>
      <c r="I30" s="7">
        <f t="shared" si="0"/>
        <v>10.129068307578564</v>
      </c>
      <c r="J30" s="7">
        <f t="shared" si="0"/>
        <v>0.39731327444314957</v>
      </c>
      <c r="K30" s="7">
        <f t="shared" si="1"/>
        <v>10.526381582021713</v>
      </c>
      <c r="L30">
        <f t="shared" si="2"/>
        <v>10.56</v>
      </c>
    </row>
    <row r="31" spans="1:12" x14ac:dyDescent="0.3">
      <c r="A31">
        <v>30</v>
      </c>
      <c r="B31" s="5">
        <v>46256</v>
      </c>
      <c r="C31" s="6">
        <v>46256.564417953647</v>
      </c>
      <c r="D31" s="6">
        <v>46256.564417953647</v>
      </c>
      <c r="E31" s="6">
        <v>46256.565814247217</v>
      </c>
      <c r="F31" t="s">
        <v>20</v>
      </c>
      <c r="G31">
        <v>8</v>
      </c>
      <c r="H31" t="s">
        <v>13</v>
      </c>
      <c r="I31" s="7">
        <f t="shared" si="0"/>
        <v>0</v>
      </c>
      <c r="J31" s="7">
        <f t="shared" si="0"/>
        <v>2.0106627407949418</v>
      </c>
      <c r="K31" s="7">
        <f t="shared" si="1"/>
        <v>2.0106627407949418</v>
      </c>
      <c r="L31">
        <f t="shared" si="2"/>
        <v>0.25</v>
      </c>
    </row>
    <row r="32" spans="1:12" x14ac:dyDescent="0.3">
      <c r="A32">
        <v>31</v>
      </c>
      <c r="B32" s="5">
        <v>46256</v>
      </c>
      <c r="C32" s="6">
        <v>46256.564592011957</v>
      </c>
      <c r="D32" s="6">
        <v>46256.565814247217</v>
      </c>
      <c r="E32" s="6">
        <v>46256.568452922118</v>
      </c>
      <c r="F32" t="s">
        <v>20</v>
      </c>
      <c r="G32">
        <v>8</v>
      </c>
      <c r="H32" t="s">
        <v>13</v>
      </c>
      <c r="I32" s="7">
        <f t="shared" si="0"/>
        <v>1.7600187740754336</v>
      </c>
      <c r="J32" s="7">
        <f t="shared" si="0"/>
        <v>3.799691858002916</v>
      </c>
      <c r="K32" s="7">
        <f t="shared" si="1"/>
        <v>5.5597106320783496</v>
      </c>
      <c r="L32">
        <f t="shared" si="2"/>
        <v>1.1499999999999999</v>
      </c>
    </row>
    <row r="33" spans="1:12" x14ac:dyDescent="0.3">
      <c r="A33">
        <v>32</v>
      </c>
      <c r="B33" s="5">
        <v>46256</v>
      </c>
      <c r="C33" s="6">
        <v>46256.565389381831</v>
      </c>
      <c r="D33" s="6">
        <v>46256.568452922118</v>
      </c>
      <c r="E33" s="6">
        <v>46256.569419266401</v>
      </c>
      <c r="F33" t="s">
        <v>20</v>
      </c>
      <c r="G33">
        <v>8</v>
      </c>
      <c r="H33" t="s">
        <v>13</v>
      </c>
      <c r="I33" s="7">
        <f t="shared" si="0"/>
        <v>4.4114980136509985</v>
      </c>
      <c r="J33" s="7">
        <f t="shared" si="0"/>
        <v>1.3915357680525631</v>
      </c>
      <c r="K33" s="7">
        <f t="shared" si="1"/>
        <v>5.8030337817035615</v>
      </c>
      <c r="L33">
        <f t="shared" si="2"/>
        <v>1.33</v>
      </c>
    </row>
    <row r="34" spans="1:12" x14ac:dyDescent="0.3">
      <c r="A34">
        <v>33</v>
      </c>
      <c r="B34" s="5">
        <v>46256</v>
      </c>
      <c r="C34" s="6">
        <v>46256.566312158793</v>
      </c>
      <c r="D34" s="6">
        <v>46256.569419266401</v>
      </c>
      <c r="E34" s="6">
        <v>46256.571380411828</v>
      </c>
      <c r="F34" t="s">
        <v>20</v>
      </c>
      <c r="G34">
        <v>8</v>
      </c>
      <c r="H34" t="s">
        <v>13</v>
      </c>
      <c r="I34" s="7">
        <f t="shared" si="0"/>
        <v>4.4742349558509886</v>
      </c>
      <c r="J34" s="7">
        <f t="shared" si="0"/>
        <v>2.824049413902685</v>
      </c>
      <c r="K34" s="7">
        <f t="shared" si="1"/>
        <v>7.2982843697536737</v>
      </c>
      <c r="L34">
        <f t="shared" si="2"/>
        <v>0.38</v>
      </c>
    </row>
    <row r="35" spans="1:12" x14ac:dyDescent="0.3">
      <c r="A35">
        <v>34</v>
      </c>
      <c r="B35" s="5">
        <v>46256</v>
      </c>
      <c r="C35" s="6">
        <v>46256.566574831253</v>
      </c>
      <c r="D35" s="6">
        <v>46256.571380411828</v>
      </c>
      <c r="E35" s="6">
        <v>46256.571618230053</v>
      </c>
      <c r="F35" t="s">
        <v>20</v>
      </c>
      <c r="G35">
        <v>8</v>
      </c>
      <c r="H35" t="s">
        <v>13</v>
      </c>
      <c r="I35" s="7">
        <f t="shared" si="0"/>
        <v>6.9200360274408013</v>
      </c>
      <c r="J35" s="7">
        <f t="shared" si="0"/>
        <v>0.34245824441313744</v>
      </c>
      <c r="K35" s="7">
        <f t="shared" si="1"/>
        <v>7.2624942718539387</v>
      </c>
      <c r="L35">
        <f t="shared" si="2"/>
        <v>0.1</v>
      </c>
    </row>
    <row r="36" spans="1:12" x14ac:dyDescent="0.3">
      <c r="A36">
        <v>35</v>
      </c>
      <c r="B36" s="5">
        <v>46256</v>
      </c>
      <c r="C36" s="6">
        <v>46256.566641931771</v>
      </c>
      <c r="D36" s="6">
        <v>46256.571618230053</v>
      </c>
      <c r="E36" s="6">
        <v>46256.57256561111</v>
      </c>
      <c r="F36" t="s">
        <v>20</v>
      </c>
      <c r="G36">
        <v>8</v>
      </c>
      <c r="H36" t="s">
        <v>13</v>
      </c>
      <c r="I36" s="7">
        <f t="shared" si="0"/>
        <v>7.1658695256337523</v>
      </c>
      <c r="J36" s="7">
        <f t="shared" si="0"/>
        <v>1.36422872194089</v>
      </c>
      <c r="K36" s="7">
        <f t="shared" si="1"/>
        <v>8.5300982475746423</v>
      </c>
      <c r="L36">
        <f t="shared" si="2"/>
        <v>2.16</v>
      </c>
    </row>
    <row r="37" spans="1:12" x14ac:dyDescent="0.3">
      <c r="A37">
        <v>36</v>
      </c>
      <c r="B37" s="5">
        <v>46256</v>
      </c>
      <c r="C37" s="6">
        <v>46256.568138653842</v>
      </c>
      <c r="D37" s="6">
        <v>46256.57256561111</v>
      </c>
      <c r="E37" s="6">
        <v>46256.575006779844</v>
      </c>
      <c r="F37" t="s">
        <v>20</v>
      </c>
      <c r="G37">
        <v>8</v>
      </c>
      <c r="H37" t="s">
        <v>13</v>
      </c>
      <c r="I37" s="7">
        <f t="shared" si="0"/>
        <v>6.3748184661380947</v>
      </c>
      <c r="J37" s="7">
        <f t="shared" si="0"/>
        <v>3.5152829764410853</v>
      </c>
      <c r="K37" s="7">
        <f t="shared" si="1"/>
        <v>9.89010144257918</v>
      </c>
      <c r="L37">
        <f t="shared" si="2"/>
        <v>0.61</v>
      </c>
    </row>
    <row r="38" spans="1:12" x14ac:dyDescent="0.3">
      <c r="A38">
        <v>37</v>
      </c>
      <c r="B38" s="5">
        <v>46256</v>
      </c>
      <c r="C38" s="6">
        <v>46256.568564273613</v>
      </c>
      <c r="D38" s="6">
        <v>46256.575006779844</v>
      </c>
      <c r="E38" s="6">
        <v>46256.575087326528</v>
      </c>
      <c r="F38" t="s">
        <v>20</v>
      </c>
      <c r="G38">
        <v>8</v>
      </c>
      <c r="H38" t="s">
        <v>13</v>
      </c>
      <c r="I38" s="7">
        <f t="shared" si="0"/>
        <v>9.2772089713253081</v>
      </c>
      <c r="J38" s="7">
        <f t="shared" si="0"/>
        <v>0.11598722543567419</v>
      </c>
      <c r="K38" s="7">
        <f t="shared" si="1"/>
        <v>9.3931961967609823</v>
      </c>
      <c r="L38" t="str">
        <f t="shared" si="2"/>
        <v/>
      </c>
    </row>
    <row r="39" spans="1:12" x14ac:dyDescent="0.3">
      <c r="A39">
        <v>38</v>
      </c>
      <c r="B39" s="5">
        <v>46257</v>
      </c>
      <c r="C39" s="6">
        <v>46257.505261212063</v>
      </c>
      <c r="D39" s="6">
        <v>46257.505261212063</v>
      </c>
      <c r="E39" s="6">
        <v>46257.505588709297</v>
      </c>
      <c r="F39" t="s">
        <v>21</v>
      </c>
      <c r="G39">
        <v>3</v>
      </c>
      <c r="H39" t="s">
        <v>13</v>
      </c>
      <c r="I39" s="7">
        <f t="shared" si="0"/>
        <v>0</v>
      </c>
      <c r="J39" s="7">
        <f t="shared" si="0"/>
        <v>0.47159601585008204</v>
      </c>
      <c r="K39" s="7">
        <f t="shared" si="1"/>
        <v>0.47159601585008204</v>
      </c>
      <c r="L39">
        <f t="shared" si="2"/>
        <v>1.25</v>
      </c>
    </row>
    <row r="40" spans="1:12" x14ac:dyDescent="0.3">
      <c r="A40">
        <v>39</v>
      </c>
      <c r="B40" s="5">
        <v>46257</v>
      </c>
      <c r="C40" s="6">
        <v>46257.506129917863</v>
      </c>
      <c r="D40" s="6">
        <v>46257.506129917863</v>
      </c>
      <c r="E40" s="6">
        <v>46257.506556734792</v>
      </c>
      <c r="F40" t="s">
        <v>21</v>
      </c>
      <c r="G40">
        <v>3</v>
      </c>
      <c r="H40" t="s">
        <v>13</v>
      </c>
      <c r="I40" s="7">
        <f t="shared" si="0"/>
        <v>0</v>
      </c>
      <c r="J40" s="7">
        <f t="shared" si="0"/>
        <v>0.61461637727916241</v>
      </c>
      <c r="K40" s="7">
        <f t="shared" si="1"/>
        <v>0.61461637727916241</v>
      </c>
      <c r="L40">
        <f t="shared" si="2"/>
        <v>1.42</v>
      </c>
    </row>
    <row r="41" spans="1:12" x14ac:dyDescent="0.3">
      <c r="A41">
        <v>40</v>
      </c>
      <c r="B41" s="5">
        <v>46257</v>
      </c>
      <c r="C41" s="6">
        <v>46257.507116768509</v>
      </c>
      <c r="D41" s="6">
        <v>46257.507116768509</v>
      </c>
      <c r="E41" s="6">
        <v>46257.50947769366</v>
      </c>
      <c r="F41" t="s">
        <v>21</v>
      </c>
      <c r="G41">
        <v>3</v>
      </c>
      <c r="H41" t="s">
        <v>13</v>
      </c>
      <c r="I41" s="7">
        <f t="shared" si="0"/>
        <v>0</v>
      </c>
      <c r="J41" s="7">
        <f t="shared" si="0"/>
        <v>3.3997322176583111</v>
      </c>
      <c r="K41" s="7">
        <f t="shared" si="1"/>
        <v>3.3997322176583111</v>
      </c>
      <c r="L41">
        <f t="shared" si="2"/>
        <v>9.1300000000000008</v>
      </c>
    </row>
    <row r="42" spans="1:12" x14ac:dyDescent="0.3">
      <c r="A42">
        <v>41</v>
      </c>
      <c r="B42" s="5">
        <v>46257</v>
      </c>
      <c r="C42" s="6">
        <v>46257.513457697511</v>
      </c>
      <c r="D42" s="6">
        <v>46257.513457697511</v>
      </c>
      <c r="E42" s="6">
        <v>46257.516156151658</v>
      </c>
      <c r="F42" t="s">
        <v>22</v>
      </c>
      <c r="G42">
        <v>4</v>
      </c>
      <c r="H42" t="s">
        <v>13</v>
      </c>
      <c r="I42" s="7">
        <f t="shared" si="0"/>
        <v>0</v>
      </c>
      <c r="J42" s="7">
        <f t="shared" si="0"/>
        <v>3.8857739721424878</v>
      </c>
      <c r="K42" s="7">
        <f t="shared" si="1"/>
        <v>3.8857739721424878</v>
      </c>
      <c r="L42">
        <f t="shared" si="2"/>
        <v>2.37</v>
      </c>
    </row>
    <row r="43" spans="1:12" x14ac:dyDescent="0.3">
      <c r="A43">
        <v>42</v>
      </c>
      <c r="B43" s="5">
        <v>46257</v>
      </c>
      <c r="C43" s="6">
        <v>46257.515105143233</v>
      </c>
      <c r="D43" s="6">
        <v>46257.516156151658</v>
      </c>
      <c r="E43" s="6">
        <v>46257.516791064358</v>
      </c>
      <c r="F43" t="s">
        <v>22</v>
      </c>
      <c r="G43">
        <v>4</v>
      </c>
      <c r="H43" t="s">
        <v>13</v>
      </c>
      <c r="I43" s="7">
        <f t="shared" si="0"/>
        <v>1.5134521317668259</v>
      </c>
      <c r="J43" s="7">
        <f t="shared" si="0"/>
        <v>0.91427428764291108</v>
      </c>
      <c r="K43" s="7">
        <f t="shared" si="1"/>
        <v>2.427726419409737</v>
      </c>
      <c r="L43">
        <f t="shared" si="2"/>
        <v>1.04</v>
      </c>
    </row>
    <row r="44" spans="1:12" x14ac:dyDescent="0.3">
      <c r="A44">
        <v>43</v>
      </c>
      <c r="B44" s="5">
        <v>46257</v>
      </c>
      <c r="C44" s="6">
        <v>46257.515825218878</v>
      </c>
      <c r="D44" s="6">
        <v>46257.516791064358</v>
      </c>
      <c r="E44" s="6">
        <v>46257.517237637367</v>
      </c>
      <c r="F44" t="s">
        <v>22</v>
      </c>
      <c r="G44">
        <v>4</v>
      </c>
      <c r="H44" t="s">
        <v>13</v>
      </c>
      <c r="I44" s="7">
        <f t="shared" si="0"/>
        <v>1.390817491337657</v>
      </c>
      <c r="J44" s="7">
        <f t="shared" si="0"/>
        <v>0.64306513289920986</v>
      </c>
      <c r="K44" s="7">
        <f t="shared" si="1"/>
        <v>2.0338826242368668</v>
      </c>
      <c r="L44">
        <f t="shared" si="2"/>
        <v>1.53</v>
      </c>
    </row>
    <row r="45" spans="1:12" x14ac:dyDescent="0.3">
      <c r="A45">
        <v>44</v>
      </c>
      <c r="B45" s="5">
        <v>46257</v>
      </c>
      <c r="C45" s="6">
        <v>46257.516886741563</v>
      </c>
      <c r="D45" s="6">
        <v>46257.517237637367</v>
      </c>
      <c r="E45" s="6">
        <v>46257.518933259897</v>
      </c>
      <c r="F45" t="s">
        <v>22</v>
      </c>
      <c r="G45">
        <v>4</v>
      </c>
      <c r="H45" t="s">
        <v>13</v>
      </c>
      <c r="I45" s="7">
        <f t="shared" si="0"/>
        <v>0.5052899569272995</v>
      </c>
      <c r="J45" s="7">
        <f t="shared" si="0"/>
        <v>2.4416964431293309</v>
      </c>
      <c r="K45" s="7">
        <f t="shared" si="1"/>
        <v>2.9469864000566304</v>
      </c>
      <c r="L45">
        <f t="shared" si="2"/>
        <v>5.91</v>
      </c>
    </row>
    <row r="46" spans="1:12" x14ac:dyDescent="0.3">
      <c r="A46">
        <v>45</v>
      </c>
      <c r="B46" s="5">
        <v>46257</v>
      </c>
      <c r="C46" s="6">
        <v>46257.520990330333</v>
      </c>
      <c r="D46" s="6">
        <v>46257.520990330333</v>
      </c>
      <c r="E46" s="6">
        <v>46257.524373265078</v>
      </c>
      <c r="F46" t="s">
        <v>23</v>
      </c>
      <c r="G46">
        <v>6</v>
      </c>
      <c r="H46" t="s">
        <v>13</v>
      </c>
      <c r="I46" s="7">
        <f t="shared" si="0"/>
        <v>0</v>
      </c>
      <c r="J46" s="7">
        <f t="shared" si="0"/>
        <v>4.8714260326232761</v>
      </c>
      <c r="K46" s="7">
        <f t="shared" si="1"/>
        <v>4.8714260326232761</v>
      </c>
      <c r="L46">
        <f t="shared" si="2"/>
        <v>0.09</v>
      </c>
    </row>
    <row r="47" spans="1:12" x14ac:dyDescent="0.3">
      <c r="A47">
        <v>46</v>
      </c>
      <c r="B47" s="5">
        <v>46257</v>
      </c>
      <c r="C47" s="6">
        <v>46257.521053316203</v>
      </c>
      <c r="D47" s="6">
        <v>46257.524373265078</v>
      </c>
      <c r="E47" s="6">
        <v>46257.526805784029</v>
      </c>
      <c r="F47" t="s">
        <v>23</v>
      </c>
      <c r="G47">
        <v>6</v>
      </c>
      <c r="H47" t="s">
        <v>13</v>
      </c>
      <c r="I47" s="7">
        <f t="shared" si="0"/>
        <v>4.7807263804133981</v>
      </c>
      <c r="J47" s="7">
        <f t="shared" si="0"/>
        <v>3.5028272902127355</v>
      </c>
      <c r="K47" s="7">
        <f t="shared" si="1"/>
        <v>8.2835536706261337</v>
      </c>
      <c r="L47">
        <f t="shared" si="2"/>
        <v>1.53</v>
      </c>
    </row>
    <row r="48" spans="1:12" x14ac:dyDescent="0.3">
      <c r="A48">
        <v>47</v>
      </c>
      <c r="B48" s="5">
        <v>46257</v>
      </c>
      <c r="C48" s="6">
        <v>46257.522114905987</v>
      </c>
      <c r="D48" s="6">
        <v>46257.526805784029</v>
      </c>
      <c r="E48" s="6">
        <v>46257.531258732779</v>
      </c>
      <c r="F48" t="s">
        <v>23</v>
      </c>
      <c r="G48">
        <v>6</v>
      </c>
      <c r="H48" t="s">
        <v>13</v>
      </c>
      <c r="I48" s="7">
        <f t="shared" si="0"/>
        <v>6.7548643809277564</v>
      </c>
      <c r="J48" s="7">
        <f t="shared" si="0"/>
        <v>6.4122461993247271</v>
      </c>
      <c r="K48" s="7">
        <f t="shared" si="1"/>
        <v>13.167110580252483</v>
      </c>
      <c r="L48">
        <f t="shared" si="2"/>
        <v>3.05</v>
      </c>
    </row>
    <row r="49" spans="1:12" x14ac:dyDescent="0.3">
      <c r="A49">
        <v>48</v>
      </c>
      <c r="B49" s="5">
        <v>46257</v>
      </c>
      <c r="C49" s="6">
        <v>46257.524230300369</v>
      </c>
      <c r="D49" s="6">
        <v>46257.531258732779</v>
      </c>
      <c r="E49" s="6">
        <v>46257.533561165292</v>
      </c>
      <c r="F49" t="s">
        <v>23</v>
      </c>
      <c r="G49">
        <v>6</v>
      </c>
      <c r="H49" t="s">
        <v>13</v>
      </c>
      <c r="I49" s="7">
        <f t="shared" si="0"/>
        <v>10.120942670619115</v>
      </c>
      <c r="J49" s="7">
        <f t="shared" si="0"/>
        <v>3.3155028184410185</v>
      </c>
      <c r="K49" s="7">
        <f t="shared" si="1"/>
        <v>13.436445489060134</v>
      </c>
      <c r="L49">
        <f t="shared" si="2"/>
        <v>1.73</v>
      </c>
    </row>
    <row r="50" spans="1:12" x14ac:dyDescent="0.3">
      <c r="A50">
        <v>49</v>
      </c>
      <c r="B50" s="5">
        <v>46257</v>
      </c>
      <c r="C50" s="6">
        <v>46257.525431632537</v>
      </c>
      <c r="D50" s="6">
        <v>46257.533561165292</v>
      </c>
      <c r="E50" s="6">
        <v>46257.534024617999</v>
      </c>
      <c r="F50" t="s">
        <v>23</v>
      </c>
      <c r="G50">
        <v>6</v>
      </c>
      <c r="H50" t="s">
        <v>13</v>
      </c>
      <c r="I50" s="7">
        <f t="shared" si="0"/>
        <v>11.706527166534215</v>
      </c>
      <c r="J50" s="7">
        <f t="shared" si="0"/>
        <v>0.66737189772538841</v>
      </c>
      <c r="K50" s="7">
        <f t="shared" si="1"/>
        <v>12.373899064259604</v>
      </c>
      <c r="L50">
        <f t="shared" si="2"/>
        <v>0.05</v>
      </c>
    </row>
    <row r="51" spans="1:12" x14ac:dyDescent="0.3">
      <c r="A51">
        <v>50</v>
      </c>
      <c r="B51" s="5">
        <v>46257</v>
      </c>
      <c r="C51" s="6">
        <v>46257.525469739769</v>
      </c>
      <c r="D51" s="6">
        <v>46257.534024617999</v>
      </c>
      <c r="E51" s="6">
        <v>46257.538043821311</v>
      </c>
      <c r="F51" t="s">
        <v>23</v>
      </c>
      <c r="G51">
        <v>6</v>
      </c>
      <c r="H51" t="s">
        <v>13</v>
      </c>
      <c r="I51" s="7">
        <f t="shared" si="0"/>
        <v>12.319024651078507</v>
      </c>
      <c r="J51" s="7">
        <f t="shared" si="0"/>
        <v>5.7876527693588287</v>
      </c>
      <c r="K51" s="7">
        <f t="shared" si="1"/>
        <v>18.106677420437336</v>
      </c>
      <c r="L51">
        <f t="shared" si="2"/>
        <v>2.2000000000000002</v>
      </c>
    </row>
    <row r="52" spans="1:12" x14ac:dyDescent="0.3">
      <c r="A52">
        <v>51</v>
      </c>
      <c r="B52" s="5">
        <v>46257</v>
      </c>
      <c r="C52" s="6">
        <v>46257.526996275483</v>
      </c>
      <c r="D52" s="6">
        <v>46257.538043821311</v>
      </c>
      <c r="E52" s="6">
        <v>46257.540624834153</v>
      </c>
      <c r="F52" t="s">
        <v>24</v>
      </c>
      <c r="G52">
        <v>4</v>
      </c>
      <c r="H52" t="s">
        <v>13</v>
      </c>
      <c r="I52" s="7">
        <f t="shared" si="0"/>
        <v>15.908465991960838</v>
      </c>
      <c r="J52" s="7">
        <f t="shared" si="0"/>
        <v>3.7166584935039282</v>
      </c>
      <c r="K52" s="7">
        <f t="shared" si="1"/>
        <v>19.625124485464767</v>
      </c>
      <c r="L52">
        <f t="shared" si="2"/>
        <v>7.0000000000000007E-2</v>
      </c>
    </row>
    <row r="53" spans="1:12" x14ac:dyDescent="0.3">
      <c r="A53">
        <v>52</v>
      </c>
      <c r="B53" s="5">
        <v>46257</v>
      </c>
      <c r="C53" s="6">
        <v>46257.527048147058</v>
      </c>
      <c r="D53" s="6">
        <v>46257.540624834153</v>
      </c>
      <c r="E53" s="6">
        <v>46257.546104856978</v>
      </c>
      <c r="F53" t="s">
        <v>24</v>
      </c>
      <c r="G53">
        <v>4</v>
      </c>
      <c r="H53" t="s">
        <v>13</v>
      </c>
      <c r="I53" s="7">
        <f t="shared" si="0"/>
        <v>19.550429417286068</v>
      </c>
      <c r="J53" s="7">
        <f t="shared" si="0"/>
        <v>7.8912328672595322</v>
      </c>
      <c r="K53" s="7">
        <f t="shared" si="1"/>
        <v>27.4416622845456</v>
      </c>
      <c r="L53">
        <f t="shared" si="2"/>
        <v>2.83</v>
      </c>
    </row>
    <row r="54" spans="1:12" x14ac:dyDescent="0.3">
      <c r="A54">
        <v>53</v>
      </c>
      <c r="B54" s="5">
        <v>46257</v>
      </c>
      <c r="C54" s="6">
        <v>46257.529015706757</v>
      </c>
      <c r="D54" s="6">
        <v>46257.546104856978</v>
      </c>
      <c r="E54" s="6">
        <v>46257.546730997208</v>
      </c>
      <c r="F54" t="s">
        <v>24</v>
      </c>
      <c r="G54">
        <v>4</v>
      </c>
      <c r="H54" t="s">
        <v>13</v>
      </c>
      <c r="I54" s="7">
        <f t="shared" si="0"/>
        <v>24.608376317191869</v>
      </c>
      <c r="J54" s="7">
        <f t="shared" si="0"/>
        <v>0.90164193185046315</v>
      </c>
      <c r="K54" s="7">
        <f t="shared" si="1"/>
        <v>25.510018249042332</v>
      </c>
      <c r="L54">
        <f t="shared" si="2"/>
        <v>4.32</v>
      </c>
    </row>
    <row r="55" spans="1:12" x14ac:dyDescent="0.3">
      <c r="A55">
        <v>54</v>
      </c>
      <c r="B55" s="5">
        <v>46257</v>
      </c>
      <c r="C55" s="6">
        <v>46257.532015068762</v>
      </c>
      <c r="D55" s="6">
        <v>46257.546730997208</v>
      </c>
      <c r="E55" s="6">
        <v>46257.553402317659</v>
      </c>
      <c r="F55" t="s">
        <v>24</v>
      </c>
      <c r="G55">
        <v>4</v>
      </c>
      <c r="H55" t="s">
        <v>13</v>
      </c>
      <c r="I55" s="7">
        <f t="shared" si="0"/>
        <v>21.190936962375417</v>
      </c>
      <c r="J55" s="7">
        <f t="shared" si="0"/>
        <v>9.6067014487925917</v>
      </c>
      <c r="K55" s="7">
        <f t="shared" si="1"/>
        <v>30.797638411168009</v>
      </c>
      <c r="L55">
        <f t="shared" si="2"/>
        <v>1.24</v>
      </c>
    </row>
    <row r="56" spans="1:12" x14ac:dyDescent="0.3">
      <c r="A56">
        <v>55</v>
      </c>
      <c r="B56" s="5">
        <v>46257</v>
      </c>
      <c r="C56" s="6">
        <v>46257.53287612705</v>
      </c>
      <c r="D56" s="6">
        <v>46257.553402317659</v>
      </c>
      <c r="E56" s="6">
        <v>46257.554402195397</v>
      </c>
      <c r="F56" t="s">
        <v>25</v>
      </c>
      <c r="G56">
        <v>4</v>
      </c>
      <c r="H56" t="s">
        <v>13</v>
      </c>
      <c r="I56" s="7">
        <f t="shared" si="0"/>
        <v>29.557714476250112</v>
      </c>
      <c r="J56" s="7">
        <f t="shared" si="0"/>
        <v>1.4398239436559379</v>
      </c>
      <c r="K56" s="7">
        <f t="shared" si="1"/>
        <v>30.99753841990605</v>
      </c>
      <c r="L56">
        <f t="shared" si="2"/>
        <v>0.49</v>
      </c>
    </row>
    <row r="57" spans="1:12" x14ac:dyDescent="0.3">
      <c r="A57">
        <v>56</v>
      </c>
      <c r="B57" s="5">
        <v>46257</v>
      </c>
      <c r="C57" s="6">
        <v>46257.53321792854</v>
      </c>
      <c r="D57" s="6">
        <v>46257.554402195397</v>
      </c>
      <c r="E57" s="6">
        <v>46257.554987221367</v>
      </c>
      <c r="F57" t="s">
        <v>25</v>
      </c>
      <c r="G57">
        <v>4</v>
      </c>
      <c r="H57" t="s">
        <v>13</v>
      </c>
      <c r="I57" s="7">
        <f t="shared" si="0"/>
        <v>30.505344275152311</v>
      </c>
      <c r="J57" s="7">
        <f t="shared" si="0"/>
        <v>0.84243739605881274</v>
      </c>
      <c r="K57" s="7">
        <f t="shared" si="1"/>
        <v>31.347781671211123</v>
      </c>
      <c r="L57">
        <f t="shared" si="2"/>
        <v>8.64</v>
      </c>
    </row>
    <row r="58" spans="1:12" x14ac:dyDescent="0.3">
      <c r="A58">
        <v>57</v>
      </c>
      <c r="B58" s="5">
        <v>46257</v>
      </c>
      <c r="C58" s="6">
        <v>46257.539218616679</v>
      </c>
      <c r="D58" s="6">
        <v>46257.554987221367</v>
      </c>
      <c r="E58" s="6">
        <v>46257.557054026242</v>
      </c>
      <c r="F58" t="s">
        <v>25</v>
      </c>
      <c r="G58">
        <v>4</v>
      </c>
      <c r="H58" t="s">
        <v>13</v>
      </c>
      <c r="I58" s="7">
        <f t="shared" si="0"/>
        <v>22.706790750380605</v>
      </c>
      <c r="J58" s="7">
        <f t="shared" si="0"/>
        <v>2.9761990194674581</v>
      </c>
      <c r="K58" s="7">
        <f t="shared" si="1"/>
        <v>25.682989769848064</v>
      </c>
      <c r="L58">
        <f t="shared" si="2"/>
        <v>0.1</v>
      </c>
    </row>
    <row r="59" spans="1:12" x14ac:dyDescent="0.3">
      <c r="A59">
        <v>58</v>
      </c>
      <c r="B59" s="5">
        <v>46257</v>
      </c>
      <c r="C59" s="6">
        <v>46257.53928525457</v>
      </c>
      <c r="D59" s="6">
        <v>46257.557054026242</v>
      </c>
      <c r="E59" s="6">
        <v>46257.558282640333</v>
      </c>
      <c r="F59" t="s">
        <v>25</v>
      </c>
      <c r="G59">
        <v>4</v>
      </c>
      <c r="H59" t="s">
        <v>13</v>
      </c>
      <c r="I59" s="7">
        <f t="shared" si="0"/>
        <v>25.587031206814572</v>
      </c>
      <c r="J59" s="7">
        <f t="shared" si="0"/>
        <v>1.7692042922135442</v>
      </c>
      <c r="K59" s="7">
        <f t="shared" si="1"/>
        <v>27.356235499028116</v>
      </c>
      <c r="L59">
        <f t="shared" si="2"/>
        <v>3.54</v>
      </c>
    </row>
    <row r="60" spans="1:12" x14ac:dyDescent="0.3">
      <c r="A60">
        <v>59</v>
      </c>
      <c r="B60" s="5">
        <v>46257</v>
      </c>
      <c r="C60" s="6">
        <v>46257.541740235232</v>
      </c>
      <c r="D60" s="6">
        <v>46257.558282640333</v>
      </c>
      <c r="E60" s="6">
        <v>46257.558379219852</v>
      </c>
      <c r="F60" t="s">
        <v>26</v>
      </c>
      <c r="G60">
        <v>3</v>
      </c>
      <c r="H60" t="s">
        <v>13</v>
      </c>
      <c r="I60" s="7">
        <f t="shared" si="0"/>
        <v>23.821063345531002</v>
      </c>
      <c r="J60" s="7">
        <f t="shared" si="0"/>
        <v>0.13907450716942549</v>
      </c>
      <c r="K60" s="7">
        <f t="shared" si="1"/>
        <v>23.960137852700427</v>
      </c>
      <c r="L60">
        <f t="shared" si="2"/>
        <v>2.7</v>
      </c>
    </row>
    <row r="61" spans="1:12" x14ac:dyDescent="0.3">
      <c r="A61">
        <v>60</v>
      </c>
      <c r="B61" s="5">
        <v>46257</v>
      </c>
      <c r="C61" s="6">
        <v>46257.543614436137</v>
      </c>
      <c r="D61" s="6">
        <v>46257.558379219852</v>
      </c>
      <c r="E61" s="6">
        <v>46257.558840520382</v>
      </c>
      <c r="F61" t="s">
        <v>26</v>
      </c>
      <c r="G61">
        <v>3</v>
      </c>
      <c r="H61" t="s">
        <v>13</v>
      </c>
      <c r="I61" s="7">
        <f t="shared" si="0"/>
        <v>21.261288549285382</v>
      </c>
      <c r="J61" s="7">
        <f t="shared" si="0"/>
        <v>0.6642727623693645</v>
      </c>
      <c r="K61" s="7">
        <f t="shared" si="1"/>
        <v>21.925561311654747</v>
      </c>
      <c r="L61">
        <f t="shared" si="2"/>
        <v>1.94</v>
      </c>
    </row>
    <row r="62" spans="1:12" x14ac:dyDescent="0.3">
      <c r="A62">
        <v>61</v>
      </c>
      <c r="B62" s="5">
        <v>46257</v>
      </c>
      <c r="C62" s="6">
        <v>46257.544964194247</v>
      </c>
      <c r="D62" s="6">
        <v>46257.558840520382</v>
      </c>
      <c r="E62" s="6">
        <v>46257.560017472897</v>
      </c>
      <c r="F62" t="s">
        <v>26</v>
      </c>
      <c r="G62">
        <v>3</v>
      </c>
      <c r="H62" t="s">
        <v>13</v>
      </c>
      <c r="I62" s="7">
        <f t="shared" si="0"/>
        <v>19.981909634079784</v>
      </c>
      <c r="J62" s="7">
        <f t="shared" si="0"/>
        <v>1.694811622146517</v>
      </c>
      <c r="K62" s="7">
        <f t="shared" si="1"/>
        <v>21.676721256226301</v>
      </c>
      <c r="L62">
        <f t="shared" si="2"/>
        <v>4.17</v>
      </c>
    </row>
    <row r="63" spans="1:12" x14ac:dyDescent="0.3">
      <c r="A63">
        <v>62</v>
      </c>
      <c r="B63" s="5">
        <v>46257</v>
      </c>
      <c r="C63" s="6">
        <v>46257.54785798557</v>
      </c>
      <c r="D63" s="6">
        <v>46257.560017472897</v>
      </c>
      <c r="E63" s="6">
        <v>46257.561794494854</v>
      </c>
      <c r="F63" t="s">
        <v>27</v>
      </c>
      <c r="G63">
        <v>6</v>
      </c>
      <c r="H63" t="s">
        <v>13</v>
      </c>
      <c r="I63" s="7">
        <f t="shared" si="0"/>
        <v>17.509661751100793</v>
      </c>
      <c r="J63" s="7">
        <f t="shared" si="0"/>
        <v>2.5589116173796356</v>
      </c>
      <c r="K63" s="7">
        <f t="shared" si="1"/>
        <v>20.068573368480429</v>
      </c>
      <c r="L63">
        <f t="shared" si="2"/>
        <v>2.35</v>
      </c>
    </row>
    <row r="64" spans="1:12" x14ac:dyDescent="0.3">
      <c r="A64">
        <v>63</v>
      </c>
      <c r="B64" s="5">
        <v>46257</v>
      </c>
      <c r="C64" s="6">
        <v>46257.549489433542</v>
      </c>
      <c r="D64" s="6">
        <v>46257.561794494854</v>
      </c>
      <c r="E64" s="6">
        <v>46257.563559167247</v>
      </c>
      <c r="F64" t="s">
        <v>27</v>
      </c>
      <c r="G64">
        <v>6</v>
      </c>
      <c r="H64" t="s">
        <v>13</v>
      </c>
      <c r="I64" s="7">
        <f t="shared" si="0"/>
        <v>17.719288287917152</v>
      </c>
      <c r="J64" s="7">
        <f t="shared" si="0"/>
        <v>2.5411282468121499</v>
      </c>
      <c r="K64" s="7">
        <f t="shared" si="1"/>
        <v>20.260416534729302</v>
      </c>
      <c r="L64">
        <f t="shared" si="2"/>
        <v>1.17</v>
      </c>
    </row>
    <row r="65" spans="1:12" x14ac:dyDescent="0.3">
      <c r="A65">
        <v>64</v>
      </c>
      <c r="B65" s="5">
        <v>46257</v>
      </c>
      <c r="C65" s="6">
        <v>46257.550302129181</v>
      </c>
      <c r="D65" s="6">
        <v>46257.563559167247</v>
      </c>
      <c r="E65" s="6">
        <v>46257.564554179698</v>
      </c>
      <c r="F65" t="s">
        <v>27</v>
      </c>
      <c r="G65">
        <v>6</v>
      </c>
      <c r="H65" t="s">
        <v>13</v>
      </c>
      <c r="I65" s="7">
        <f t="shared" si="0"/>
        <v>19.090134815778583</v>
      </c>
      <c r="J65" s="7">
        <f t="shared" si="0"/>
        <v>1.4328179298900068</v>
      </c>
      <c r="K65" s="7">
        <f t="shared" si="1"/>
        <v>20.52295274566859</v>
      </c>
      <c r="L65">
        <f t="shared" si="2"/>
        <v>0.3</v>
      </c>
    </row>
    <row r="66" spans="1:12" x14ac:dyDescent="0.3">
      <c r="A66">
        <v>65</v>
      </c>
      <c r="B66" s="5">
        <v>46257</v>
      </c>
      <c r="C66" s="6">
        <v>46257.550513561437</v>
      </c>
      <c r="D66" s="6">
        <v>46257.564554179698</v>
      </c>
      <c r="E66" s="6">
        <v>46257.567035558553</v>
      </c>
      <c r="F66" t="s">
        <v>27</v>
      </c>
      <c r="G66">
        <v>6</v>
      </c>
      <c r="H66" t="s">
        <v>13</v>
      </c>
      <c r="I66" s="7">
        <f t="shared" si="0"/>
        <v>20.218490296974778</v>
      </c>
      <c r="J66" s="7">
        <f t="shared" si="0"/>
        <v>3.5731855512131006</v>
      </c>
      <c r="K66" s="7">
        <f t="shared" si="1"/>
        <v>23.791675848187879</v>
      </c>
      <c r="L66">
        <f t="shared" si="2"/>
        <v>2.08</v>
      </c>
    </row>
    <row r="67" spans="1:12" x14ac:dyDescent="0.3">
      <c r="A67">
        <v>66</v>
      </c>
      <c r="B67" s="5">
        <v>46257</v>
      </c>
      <c r="C67" s="6">
        <v>46257.551956076553</v>
      </c>
      <c r="D67" s="6">
        <v>46257.567035558553</v>
      </c>
      <c r="E67" s="6">
        <v>46257.569870369553</v>
      </c>
      <c r="F67" t="s">
        <v>27</v>
      </c>
      <c r="G67">
        <v>6</v>
      </c>
      <c r="H67" t="s">
        <v>13</v>
      </c>
      <c r="I67" s="7">
        <f t="shared" ref="I67:J84" si="3">(D67-C67)*1440</f>
        <v>21.714454080210999</v>
      </c>
      <c r="J67" s="7">
        <f t="shared" si="3"/>
        <v>4.0821278386283666</v>
      </c>
      <c r="K67" s="7">
        <f t="shared" ref="K67:K84" si="4">I67+J67</f>
        <v>25.796581918839365</v>
      </c>
      <c r="L67">
        <f t="shared" ref="L67:L84" si="5">IF(B67=B68,ROUND((C68-C67)*1440,2),"")</f>
        <v>0.06</v>
      </c>
    </row>
    <row r="68" spans="1:12" x14ac:dyDescent="0.3">
      <c r="A68">
        <v>67</v>
      </c>
      <c r="B68" s="5">
        <v>46257</v>
      </c>
      <c r="C68" s="6">
        <v>46257.551997518043</v>
      </c>
      <c r="D68" s="6">
        <v>46257.569870369553</v>
      </c>
      <c r="E68" s="6">
        <v>46257.570887149013</v>
      </c>
      <c r="F68" t="s">
        <v>27</v>
      </c>
      <c r="G68">
        <v>6</v>
      </c>
      <c r="H68" t="s">
        <v>13</v>
      </c>
      <c r="I68" s="7">
        <f t="shared" si="3"/>
        <v>25.736906173406169</v>
      </c>
      <c r="J68" s="7">
        <f t="shared" si="3"/>
        <v>1.4641624235082418</v>
      </c>
      <c r="K68" s="7">
        <f t="shared" si="4"/>
        <v>27.201068596914411</v>
      </c>
      <c r="L68">
        <f t="shared" si="5"/>
        <v>8.7899999999999991</v>
      </c>
    </row>
    <row r="69" spans="1:12" x14ac:dyDescent="0.3">
      <c r="A69">
        <v>68</v>
      </c>
      <c r="B69" s="5">
        <v>46257</v>
      </c>
      <c r="C69" s="6">
        <v>46257.558101456831</v>
      </c>
      <c r="D69" s="6">
        <v>46257.570887149013</v>
      </c>
      <c r="E69" s="6">
        <v>46257.572845012932</v>
      </c>
      <c r="F69" t="s">
        <v>28</v>
      </c>
      <c r="G69">
        <v>4</v>
      </c>
      <c r="H69" t="s">
        <v>13</v>
      </c>
      <c r="I69" s="7">
        <f t="shared" si="3"/>
        <v>18.411396743031219</v>
      </c>
      <c r="J69" s="7">
        <f t="shared" si="3"/>
        <v>2.819324042648077</v>
      </c>
      <c r="K69" s="7">
        <f t="shared" si="4"/>
        <v>21.230720785679296</v>
      </c>
      <c r="L69">
        <f t="shared" si="5"/>
        <v>0.28999999999999998</v>
      </c>
    </row>
    <row r="70" spans="1:12" x14ac:dyDescent="0.3">
      <c r="A70">
        <v>69</v>
      </c>
      <c r="B70" s="5">
        <v>46257</v>
      </c>
      <c r="C70" s="6">
        <v>46257.558306187173</v>
      </c>
      <c r="D70" s="6">
        <v>46257.572845012932</v>
      </c>
      <c r="E70" s="6">
        <v>46257.572918766738</v>
      </c>
      <c r="F70" t="s">
        <v>28</v>
      </c>
      <c r="G70">
        <v>4</v>
      </c>
      <c r="H70" t="s">
        <v>13</v>
      </c>
      <c r="I70" s="7">
        <f t="shared" si="3"/>
        <v>20.935909092659131</v>
      </c>
      <c r="J70" s="7">
        <f t="shared" si="3"/>
        <v>0.10620548157021403</v>
      </c>
      <c r="K70" s="7">
        <f t="shared" si="4"/>
        <v>21.042114574229345</v>
      </c>
      <c r="L70">
        <f t="shared" si="5"/>
        <v>1.91</v>
      </c>
    </row>
    <row r="71" spans="1:12" x14ac:dyDescent="0.3">
      <c r="A71">
        <v>70</v>
      </c>
      <c r="B71" s="5">
        <v>46257</v>
      </c>
      <c r="C71" s="6">
        <v>46257.559634860663</v>
      </c>
      <c r="D71" s="6">
        <v>46257.572918766738</v>
      </c>
      <c r="E71" s="6">
        <v>46257.572938966572</v>
      </c>
      <c r="F71" t="s">
        <v>28</v>
      </c>
      <c r="G71">
        <v>4</v>
      </c>
      <c r="H71" t="s">
        <v>13</v>
      </c>
      <c r="I71" s="7">
        <f t="shared" si="3"/>
        <v>19.128824748331681</v>
      </c>
      <c r="J71" s="7">
        <f t="shared" si="3"/>
        <v>2.9087760485708714E-2</v>
      </c>
      <c r="K71" s="7">
        <f t="shared" si="4"/>
        <v>19.15791250881739</v>
      </c>
      <c r="L71">
        <f t="shared" si="5"/>
        <v>0.23</v>
      </c>
    </row>
    <row r="72" spans="1:12" x14ac:dyDescent="0.3">
      <c r="A72">
        <v>71</v>
      </c>
      <c r="B72" s="5">
        <v>46257</v>
      </c>
      <c r="C72" s="6">
        <v>46257.559794481829</v>
      </c>
      <c r="D72" s="6">
        <v>46257.572938966572</v>
      </c>
      <c r="E72" s="6">
        <v>46257.573228434157</v>
      </c>
      <c r="F72" t="s">
        <v>28</v>
      </c>
      <c r="G72">
        <v>4</v>
      </c>
      <c r="H72" t="s">
        <v>13</v>
      </c>
      <c r="I72" s="7">
        <f t="shared" si="3"/>
        <v>18.928058029850945</v>
      </c>
      <c r="J72" s="7">
        <f t="shared" si="3"/>
        <v>0.41683332296088338</v>
      </c>
      <c r="K72" s="7">
        <f t="shared" si="4"/>
        <v>19.344891352811828</v>
      </c>
      <c r="L72">
        <f t="shared" si="5"/>
        <v>3.29</v>
      </c>
    </row>
    <row r="73" spans="1:12" x14ac:dyDescent="0.3">
      <c r="A73">
        <v>72</v>
      </c>
      <c r="B73" s="5">
        <v>46257</v>
      </c>
      <c r="C73" s="6">
        <v>46257.562077648712</v>
      </c>
      <c r="D73" s="6">
        <v>46257.573228434157</v>
      </c>
      <c r="E73" s="6">
        <v>46257.574971386297</v>
      </c>
      <c r="F73" t="s">
        <v>29</v>
      </c>
      <c r="G73">
        <v>5</v>
      </c>
      <c r="H73" t="s">
        <v>13</v>
      </c>
      <c r="I73" s="7">
        <f t="shared" si="3"/>
        <v>16.057131041307002</v>
      </c>
      <c r="J73" s="7">
        <f t="shared" si="3"/>
        <v>2.5098510808311403</v>
      </c>
      <c r="K73" s="7">
        <f t="shared" si="4"/>
        <v>18.566982122138143</v>
      </c>
      <c r="L73">
        <f t="shared" si="5"/>
        <v>0.56000000000000005</v>
      </c>
    </row>
    <row r="74" spans="1:12" x14ac:dyDescent="0.3">
      <c r="A74">
        <v>73</v>
      </c>
      <c r="B74" s="5">
        <v>46257</v>
      </c>
      <c r="C74" s="6">
        <v>46257.562467041942</v>
      </c>
      <c r="D74" s="6">
        <v>46257.574971386297</v>
      </c>
      <c r="E74" s="6">
        <v>46257.57580123956</v>
      </c>
      <c r="F74" t="s">
        <v>29</v>
      </c>
      <c r="G74">
        <v>5</v>
      </c>
      <c r="H74" t="s">
        <v>13</v>
      </c>
      <c r="I74" s="7">
        <f t="shared" si="3"/>
        <v>18.006255871150643</v>
      </c>
      <c r="J74" s="7">
        <f t="shared" si="3"/>
        <v>1.1949886986985803</v>
      </c>
      <c r="K74" s="7">
        <f t="shared" si="4"/>
        <v>19.201244569849223</v>
      </c>
      <c r="L74">
        <f t="shared" si="5"/>
        <v>0.33</v>
      </c>
    </row>
    <row r="75" spans="1:12" x14ac:dyDescent="0.3">
      <c r="A75">
        <v>74</v>
      </c>
      <c r="B75" s="5">
        <v>46257</v>
      </c>
      <c r="C75" s="6">
        <v>46257.562695465393</v>
      </c>
      <c r="D75" s="6">
        <v>46257.57580123956</v>
      </c>
      <c r="E75" s="6">
        <v>46257.576472203458</v>
      </c>
      <c r="F75" t="s">
        <v>29</v>
      </c>
      <c r="G75">
        <v>5</v>
      </c>
      <c r="H75" t="s">
        <v>13</v>
      </c>
      <c r="I75" s="7">
        <f t="shared" si="3"/>
        <v>18.872314800973982</v>
      </c>
      <c r="J75" s="7">
        <f t="shared" si="3"/>
        <v>0.96618801355361938</v>
      </c>
      <c r="K75" s="7">
        <f t="shared" si="4"/>
        <v>19.838502814527601</v>
      </c>
      <c r="L75">
        <f t="shared" si="5"/>
        <v>2.83</v>
      </c>
    </row>
    <row r="76" spans="1:12" x14ac:dyDescent="0.3">
      <c r="A76">
        <v>75</v>
      </c>
      <c r="B76" s="5">
        <v>46257</v>
      </c>
      <c r="C76" s="6">
        <v>46257.564658164672</v>
      </c>
      <c r="D76" s="6">
        <v>46257.576472203458</v>
      </c>
      <c r="E76" s="6">
        <v>46257.577320652141</v>
      </c>
      <c r="F76" t="s">
        <v>29</v>
      </c>
      <c r="G76">
        <v>5</v>
      </c>
      <c r="H76" t="s">
        <v>13</v>
      </c>
      <c r="I76" s="7">
        <f t="shared" si="3"/>
        <v>17.012215851573274</v>
      </c>
      <c r="J76" s="7">
        <f t="shared" si="3"/>
        <v>1.2217661028262228</v>
      </c>
      <c r="K76" s="7">
        <f t="shared" si="4"/>
        <v>18.233981954399496</v>
      </c>
      <c r="L76">
        <f t="shared" si="5"/>
        <v>0.28999999999999998</v>
      </c>
    </row>
    <row r="77" spans="1:12" x14ac:dyDescent="0.3">
      <c r="A77">
        <v>76</v>
      </c>
      <c r="B77" s="5">
        <v>46257</v>
      </c>
      <c r="C77" s="6">
        <v>46257.564856112833</v>
      </c>
      <c r="D77" s="6">
        <v>46257.577320652141</v>
      </c>
      <c r="E77" s="6">
        <v>46257.578818163231</v>
      </c>
      <c r="F77" t="s">
        <v>29</v>
      </c>
      <c r="G77">
        <v>5</v>
      </c>
      <c r="H77" t="s">
        <v>13</v>
      </c>
      <c r="I77" s="7">
        <f t="shared" si="3"/>
        <v>17.948936603497714</v>
      </c>
      <c r="J77" s="7">
        <f t="shared" si="3"/>
        <v>2.1564159693662077</v>
      </c>
      <c r="K77" s="7">
        <f t="shared" si="4"/>
        <v>20.105352572863922</v>
      </c>
      <c r="L77">
        <f t="shared" si="5"/>
        <v>4.1100000000000003</v>
      </c>
    </row>
    <row r="78" spans="1:12" x14ac:dyDescent="0.3">
      <c r="A78">
        <v>77</v>
      </c>
      <c r="B78" s="5">
        <v>46257</v>
      </c>
      <c r="C78" s="6">
        <v>46257.567710954609</v>
      </c>
      <c r="D78" s="6">
        <v>46257.578818163231</v>
      </c>
      <c r="E78" s="6">
        <v>46257.579293547533</v>
      </c>
      <c r="F78" t="s">
        <v>30</v>
      </c>
      <c r="G78">
        <v>7</v>
      </c>
      <c r="H78" t="s">
        <v>13</v>
      </c>
      <c r="I78" s="7">
        <f t="shared" si="3"/>
        <v>15.994380415650085</v>
      </c>
      <c r="J78" s="7">
        <f t="shared" si="3"/>
        <v>0.68455339525826275</v>
      </c>
      <c r="K78" s="7">
        <f t="shared" si="4"/>
        <v>16.678933810908347</v>
      </c>
      <c r="L78">
        <f t="shared" si="5"/>
        <v>0.91</v>
      </c>
    </row>
    <row r="79" spans="1:12" x14ac:dyDescent="0.3">
      <c r="A79">
        <v>78</v>
      </c>
      <c r="B79" s="5">
        <v>46257</v>
      </c>
      <c r="C79" s="6">
        <v>46257.5683411555</v>
      </c>
      <c r="D79" s="6">
        <v>46257.579293547533</v>
      </c>
      <c r="E79" s="6">
        <v>46257.580591692677</v>
      </c>
      <c r="F79" t="s">
        <v>30</v>
      </c>
      <c r="G79">
        <v>7</v>
      </c>
      <c r="H79" t="s">
        <v>13</v>
      </c>
      <c r="I79" s="7">
        <f t="shared" si="3"/>
        <v>15.771444527199492</v>
      </c>
      <c r="J79" s="7">
        <f t="shared" si="3"/>
        <v>1.8693290068767965</v>
      </c>
      <c r="K79" s="7">
        <f t="shared" si="4"/>
        <v>17.640773534076288</v>
      </c>
      <c r="L79">
        <f t="shared" si="5"/>
        <v>0.91</v>
      </c>
    </row>
    <row r="80" spans="1:12" x14ac:dyDescent="0.3">
      <c r="A80">
        <v>79</v>
      </c>
      <c r="B80" s="5">
        <v>46257</v>
      </c>
      <c r="C80" s="6">
        <v>46257.568976205628</v>
      </c>
      <c r="D80" s="6">
        <v>46257.580591692677</v>
      </c>
      <c r="E80" s="6">
        <v>46257.583992840497</v>
      </c>
      <c r="F80" t="s">
        <v>30</v>
      </c>
      <c r="G80">
        <v>7</v>
      </c>
      <c r="H80" t="s">
        <v>13</v>
      </c>
      <c r="I80" s="7">
        <f t="shared" si="3"/>
        <v>16.726301349699497</v>
      </c>
      <c r="J80" s="7">
        <f t="shared" si="3"/>
        <v>4.8976528609637171</v>
      </c>
      <c r="K80" s="7">
        <f t="shared" si="4"/>
        <v>21.623954210663214</v>
      </c>
      <c r="L80">
        <f t="shared" si="5"/>
        <v>0.42</v>
      </c>
    </row>
    <row r="81" spans="1:12" x14ac:dyDescent="0.3">
      <c r="A81">
        <v>80</v>
      </c>
      <c r="B81" s="5">
        <v>46257</v>
      </c>
      <c r="C81" s="6">
        <v>46257.569267829836</v>
      </c>
      <c r="D81" s="6">
        <v>46257.583992840497</v>
      </c>
      <c r="E81" s="6">
        <v>46257.587018639111</v>
      </c>
      <c r="F81" t="s">
        <v>30</v>
      </c>
      <c r="G81">
        <v>7</v>
      </c>
      <c r="H81" t="s">
        <v>13</v>
      </c>
      <c r="I81" s="7">
        <f t="shared" si="3"/>
        <v>21.20401535066776</v>
      </c>
      <c r="J81" s="7">
        <f t="shared" si="3"/>
        <v>4.3571500049438328</v>
      </c>
      <c r="K81" s="7">
        <f t="shared" si="4"/>
        <v>25.561165355611593</v>
      </c>
      <c r="L81">
        <f t="shared" si="5"/>
        <v>0.93</v>
      </c>
    </row>
    <row r="82" spans="1:12" x14ac:dyDescent="0.3">
      <c r="A82">
        <v>81</v>
      </c>
      <c r="B82" s="5">
        <v>46257</v>
      </c>
      <c r="C82" s="6">
        <v>46257.569914449887</v>
      </c>
      <c r="D82" s="6">
        <v>46257.587018639111</v>
      </c>
      <c r="E82" s="6">
        <v>46257.587894734417</v>
      </c>
      <c r="F82" t="s">
        <v>30</v>
      </c>
      <c r="G82">
        <v>7</v>
      </c>
      <c r="H82" t="s">
        <v>13</v>
      </c>
      <c r="I82" s="7">
        <f t="shared" si="3"/>
        <v>24.630032483255491</v>
      </c>
      <c r="J82" s="7">
        <f t="shared" si="3"/>
        <v>1.2615772406570613</v>
      </c>
      <c r="K82" s="7">
        <f t="shared" si="4"/>
        <v>25.891609723912552</v>
      </c>
      <c r="L82">
        <f t="shared" si="5"/>
        <v>2.35</v>
      </c>
    </row>
    <row r="83" spans="1:12" x14ac:dyDescent="0.3">
      <c r="A83">
        <v>82</v>
      </c>
      <c r="B83" s="5">
        <v>46257</v>
      </c>
      <c r="C83" s="6">
        <v>46257.571545962463</v>
      </c>
      <c r="D83" s="6">
        <v>46257.587894734417</v>
      </c>
      <c r="E83" s="6">
        <v>46257.588855764203</v>
      </c>
      <c r="F83" t="s">
        <v>30</v>
      </c>
      <c r="G83">
        <v>7</v>
      </c>
      <c r="H83" t="s">
        <v>13</v>
      </c>
      <c r="I83" s="7">
        <f t="shared" si="3"/>
        <v>23.54223161470145</v>
      </c>
      <c r="J83" s="7">
        <f t="shared" si="3"/>
        <v>1.3838828913867474</v>
      </c>
      <c r="K83" s="7">
        <f t="shared" si="4"/>
        <v>24.926114506088197</v>
      </c>
      <c r="L83">
        <f t="shared" si="5"/>
        <v>2.95</v>
      </c>
    </row>
    <row r="84" spans="1:12" x14ac:dyDescent="0.3">
      <c r="A84">
        <v>83</v>
      </c>
      <c r="B84" s="5">
        <v>46257</v>
      </c>
      <c r="C84" s="6">
        <v>46257.573593634377</v>
      </c>
      <c r="D84" s="6">
        <v>46257.588855764203</v>
      </c>
      <c r="E84" s="6">
        <v>46257.59016778884</v>
      </c>
      <c r="F84" t="s">
        <v>30</v>
      </c>
      <c r="G84">
        <v>7</v>
      </c>
      <c r="H84" t="s">
        <v>13</v>
      </c>
      <c r="I84" s="7">
        <f t="shared" si="3"/>
        <v>21.977466949028894</v>
      </c>
      <c r="J84" s="7">
        <f t="shared" si="3"/>
        <v>1.8893154768738896</v>
      </c>
      <c r="K84" s="7">
        <f t="shared" si="4"/>
        <v>23.866782425902784</v>
      </c>
      <c r="L84" t="str">
        <f t="shared" si="5"/>
        <v/>
      </c>
    </row>
  </sheetData>
  <autoFilter ref="A1:L84" xr:uid="{00000000-0009-0000-0000-000000000000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E758959CC31B7479787DE57D117D4A7" ma:contentTypeVersion="10" ma:contentTypeDescription="Crear nuevo documento." ma:contentTypeScope="" ma:versionID="46a482d05b14fe477eda25bf1116be01">
  <xsd:schema xmlns:xsd="http://www.w3.org/2001/XMLSchema" xmlns:xs="http://www.w3.org/2001/XMLSchema" xmlns:p="http://schemas.microsoft.com/office/2006/metadata/properties" xmlns:ns3="306cb03a-0ddc-4def-9074-c629e8a46a98" targetNamespace="http://schemas.microsoft.com/office/2006/metadata/properties" ma:root="true" ma:fieldsID="d4664c8a50455f6ce136b39a982e3f3a" ns3:_="">
    <xsd:import namespace="306cb03a-0ddc-4def-9074-c629e8a46a9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6cb03a-0ddc-4def-9074-c629e8a46a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6cb03a-0ddc-4def-9074-c629e8a46a98" xsi:nil="true"/>
  </documentManagement>
</p:properties>
</file>

<file path=customXml/itemProps1.xml><?xml version="1.0" encoding="utf-8"?>
<ds:datastoreItem xmlns:ds="http://schemas.openxmlformats.org/officeDocument/2006/customXml" ds:itemID="{AFF5F972-23A5-49E6-84FA-699A0E0586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6cb03a-0ddc-4def-9074-c629e8a46a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5BDE3C1-458C-40EC-B62C-22156692B06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718082-0B5B-4386-86B7-BB28A6E27D02}">
  <ds:schemaRefs>
    <ds:schemaRef ds:uri="http://schemas.microsoft.com/office/2006/metadata/properties"/>
    <ds:schemaRef ds:uri="http://schemas.microsoft.com/office/infopath/2007/PartnerControls"/>
    <ds:schemaRef ds:uri="http://purl.org/dc/terms/"/>
    <ds:schemaRef ds:uri="306cb03a-0ddc-4def-9074-c629e8a46a98"/>
    <ds:schemaRef ds:uri="http://purl.org/dc/elements/1.1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Datos_seleccionados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 DAVID RUIZ ÑURINDA</dc:creator>
  <cp:lastModifiedBy>GAEL DAVID RUIZ ÑURINDA</cp:lastModifiedBy>
  <dcterms:created xsi:type="dcterms:W3CDTF">2026-08-22T00:49:58Z</dcterms:created>
  <dcterms:modified xsi:type="dcterms:W3CDTF">2026-08-22T00:50:47Z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0x0101001E758959CC31B7479787DE57D117D4A7</vt:lpwstr>
  </property>
</Properties>
</file>